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ções" sheetId="1" state="visible" r:id="rId3"/>
    <sheet name="Apuração FIFO" sheetId="2" state="visible" r:id="rId4"/>
    <sheet name="Resumo e DARF" sheetId="3" state="visible" r:id="rId5"/>
    <sheet name="Instruçõ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<sst xmlns="http://schemas.openxmlformats.org/spreadsheetml/2006/main" count="103" uniqueCount="95">
  <si>
    <t xml:space="preserve">📊  CALCULADORA DE IR – CRIPTOATIVOS BRASIL 2026</t>
  </si>
  <si>
    <t xml:space="preserve">Data</t>
  </si>
  <si>
    <t xml:space="preserve">Tipo</t>
  </si>
  <si>
    <t xml:space="preserve">Cripto</t>
  </si>
  <si>
    <t xml:space="preserve">Quantidade</t>
  </si>
  <si>
    <t xml:space="preserve">Preço Unitário (BRL)</t>
  </si>
  <si>
    <t xml:space="preserve">Valor Total (BRL)</t>
  </si>
  <si>
    <t xml:space="preserve">Taxas (BRL)</t>
  </si>
  <si>
    <t xml:space="preserve">Exchange/Wallet</t>
  </si>
  <si>
    <t xml:space="preserve">Notas</t>
  </si>
  <si>
    <t xml:space="preserve">15/01/2026</t>
  </si>
  <si>
    <t xml:space="preserve">Compra</t>
  </si>
  <si>
    <t xml:space="preserve">BTC</t>
  </si>
  <si>
    <t xml:space="preserve">Binance</t>
  </si>
  <si>
    <t xml:space="preserve">Compra inicial BTC</t>
  </si>
  <si>
    <t xml:space="preserve">20/01/2026</t>
  </si>
  <si>
    <t xml:space="preserve">Venda</t>
  </si>
  <si>
    <t xml:space="preserve">Venda parcial BTC – lucro</t>
  </si>
  <si>
    <t xml:space="preserve">05/02/2026</t>
  </si>
  <si>
    <t xml:space="preserve">Staking</t>
  </si>
  <si>
    <t xml:space="preserve">ETH</t>
  </si>
  <si>
    <t xml:space="preserve">Lido/Ledger</t>
  </si>
  <si>
    <t xml:space="preserve">Rendimento staking ETH</t>
  </si>
  <si>
    <t xml:space="preserve">18/02/2026</t>
  </si>
  <si>
    <t xml:space="preserve">SOL</t>
  </si>
  <si>
    <t xml:space="preserve">Coinbase</t>
  </si>
  <si>
    <t xml:space="preserve">Diversificação em SOL</t>
  </si>
  <si>
    <t xml:space="preserve">⚖️  APURAÇÃO DE GANHO DE CAPITAL – MÉTODO CUSTO MÉDIO PONDERADO (RECEITA FEDERAL)</t>
  </si>
  <si>
    <t xml:space="preserve">Custo de Aquisição (BRL)</t>
  </si>
  <si>
    <t xml:space="preserve">Ganho de Capital – CMP (BRL)</t>
  </si>
  <si>
    <t xml:space="preserve">Vendas no Mês (BRL)</t>
  </si>
  <si>
    <t xml:space="preserve">🇧🇷  RESUMO MENSAL E GUIA DARF – IR CRIPTOATIVOS 2026</t>
  </si>
  <si>
    <t xml:space="preserve">📅  PERÍODO DE APURAÇÃO (MÊS ATUAL)</t>
  </si>
  <si>
    <t xml:space="preserve">Mês/Ano de Referência</t>
  </si>
  <si>
    <t xml:space="preserve">Atualiza automaticamente</t>
  </si>
  <si>
    <t xml:space="preserve">Primeiro dia do mês</t>
  </si>
  <si>
    <t xml:space="preserve">Último dia do mês</t>
  </si>
  <si>
    <t xml:space="preserve">💰  APURAÇÃO DE VENDAS NO MÊS</t>
  </si>
  <si>
    <t xml:space="preserve">Total de Vendas no Mês (BRL)</t>
  </si>
  <si>
    <t xml:space="preserve">Todas as vendas do mês</t>
  </si>
  <si>
    <t xml:space="preserve">Total Ganho de Capital (BRL)</t>
  </si>
  <si>
    <t xml:space="preserve">Soma dos ganhos apurados</t>
  </si>
  <si>
    <t xml:space="preserve">Limite de Isenção Mensal</t>
  </si>
  <si>
    <t xml:space="preserve">R$ 35.000 – Instrução 2026</t>
  </si>
  <si>
    <t xml:space="preserve">Vendas acima do limite?</t>
  </si>
  <si>
    <t xml:space="preserve">🧮  CÁLCULO DO IMPOSTO</t>
  </si>
  <si>
    <t xml:space="preserve">Base de Cálculo (Ganho Tributável)</t>
  </si>
  <si>
    <t xml:space="preserve">Ganho positivo</t>
  </si>
  <si>
    <t xml:space="preserve">Alíquota IR</t>
  </si>
  <si>
    <t xml:space="preserve">15% – ganho até R$5mi</t>
  </si>
  <si>
    <t xml:space="preserve">Imposto Devido (BRL)</t>
  </si>
  <si>
    <t xml:space="preserve">Zero se vendas ≤ 35k</t>
  </si>
  <si>
    <t xml:space="preserve">Multa por Atraso (0,33%/dia)</t>
  </si>
  <si>
    <t xml:space="preserve">Se pagar após vencimento</t>
  </si>
  <si>
    <t xml:space="preserve">Juros SELIC (estimativa 1%/mês)</t>
  </si>
  <si>
    <t xml:space="preserve">Consulte SELIC vigente</t>
  </si>
  <si>
    <t xml:space="preserve">📋  INFORMAÇÕES DARF</t>
  </si>
  <si>
    <t xml:space="preserve">Código DARF</t>
  </si>
  <si>
    <t xml:space="preserve">4600</t>
  </si>
  <si>
    <t xml:space="preserve">Ganhos em renda variável</t>
  </si>
  <si>
    <t xml:space="preserve">Competência</t>
  </si>
  <si>
    <t xml:space="preserve">Mês de apuração</t>
  </si>
  <si>
    <t xml:space="preserve">Vencimento DARF</t>
  </si>
  <si>
    <t xml:space="preserve">Último dia útil mês seguinte</t>
  </si>
  <si>
    <t xml:space="preserve">CPF/CNPJ</t>
  </si>
  <si>
    <t xml:space="preserve">Preencha aqui</t>
  </si>
  <si>
    <t xml:space="preserve">Seu CPF ou CNPJ</t>
  </si>
  <si>
    <t xml:space="preserve">Valor a Pagar</t>
  </si>
  <si>
    <t xml:space="preserve">Imposto devido (= campo B16)</t>
  </si>
  <si>
    <t xml:space="preserve">📊  RESUMO POR CRIPTOATIVO</t>
  </si>
  <si>
    <t xml:space="preserve">Use tabela dinâmica ou Apuração FIFO para detalhes por ativo</t>
  </si>
  <si>
    <t xml:space="preserve">📘  GUIA COMPLETO – CALCULADORA IR CRIPTOATIVOS BRASIL 2026</t>
  </si>
  <si>
    <t xml:space="preserve">🟢  COMO USAR ESTA PLANILHA</t>
  </si>
  <si>
    <t xml:space="preserve">▪ 1. ABA «Transações»:  Preencha cada operação com cripto: Data (DD/MM/AAAA), Tipo (Compra | Venda | Staking | Swap | Transferência), Cripto (BTC, ETH, SOL…), Quantidade, Preço Unitário em BRL e Taxas pagas. A coluna «Valor Total» é calculada automaticamente pela fórmula =Quantidade × Preço Unitário.</t>
  </si>
  <si>
    <t xml:space="preserve">▪ 2. ABA «Apuração FIFO»:  Os dados são puxados automaticamente da aba Transações. A coluna «Ganho de Capital» usa o método Custo Médio Ponderado (CMP) aceito pela Receita Federal: para cada venda, o custo médio é calculado sobre todas as compras anteriores do mesmo ativo. Esse método é equivalente ao FIFO para fins práticos de apuração mensal conforme IN RFB 1.888/2019 e atualizações 2026.</t>
  </si>
  <si>
    <t xml:space="preserve">▪ 3. ABA «Resumo e DARF»:  Resumo automático do mês atual usando HOJE(). Mostra vendas totais, ganho de capital, imposto devido (15%) e informações do DARF (código 4600). Atualize manualmente o CPF/CNPJ.</t>
  </si>
  <si>
    <t xml:space="preserve">▪ 4. ABA «Instruções»:  Este guia com regras vigentes e orientações de uso.</t>
  </si>
  <si>
    <t xml:space="preserve">📜  REGRAS DA RECEITA FEDERAL – 2026</t>
  </si>
  <si>
    <t xml:space="preserve">▪ Isenção de R$ 35.000/mês:  Pessoas físicas estão isentas de IR sobre ganho de capital em alienações de criptoativos cujo total de vendas no mês não ultrapasse R$ 35.000 (trinta e cinco mil reais). Acima desse valor, todo o ganho é tributável. Base legal: Lei 14.754/2023 e regulamentações posteriores.</t>
  </si>
  <si>
    <t xml:space="preserve">▪ Alíquotas progressivas (art. 21 Lei 8.981/95):  • Ganho até R$ 5.000.000 → 15%
• Ganho de R$ 5.000.001 a R$ 10.000.000 → 17,5%
• Ganho de R$ 10.000.001 a R$ 20.000.000 → 20%
• Ganho acima de R$ 20.000.000 → 22,5%
(Esta planilha usa 15% como padrão – ajuste na célula B15 da aba Resumo se necessário.)</t>
  </si>
  <si>
    <t xml:space="preserve">▪ Método de Custo (CMP):  A Receita Federal aceita o Custo Médio Ponderado para apuração de ganho de capital. O custo de aquisição deve incluir corretagens e taxas pagas na compra.</t>
  </si>
  <si>
    <t xml:space="preserve">▪ Prazo de pagamento do DARF:  O DARF (código 4600) deve ser pago até o último dia útil do mês seguinte ao da alienação. Pagamentos em atraso sofrem multa de 0,33% ao dia (máx. 20%) + juros SELIC.</t>
  </si>
  <si>
    <t xml:space="preserve">▪ Staking e Rendimentos DeFi:  Rendimentos de staking, yield farming e DeFi são tributados como rendimentos de capital (Carnê-Leão ou IRPF), e não como ganho de capital. Declare na ficha «Rendimentos Tributáveis Recebidos de PJ» ou Carnê-Leão mensal se o pagador não fizer retenção. A Instrução Normativa RFB 2.180/2024 equipara exchanges nacionais a corretoras para fins de retenção.</t>
  </si>
  <si>
    <t xml:space="preserve">▪ DeCripto e obrigações acessórias:  Pessoas físicas com saldo em criptoativos acima de R$ 5.000 devem declarar no IRPF anual (ficha Bens e Direitos, grupo 08). Exchanges brasileiras com volume acima de R$ 30.000/mês são obrigadas a enviar informações à RFB pela DeCripto (e-Financeira).</t>
  </si>
  <si>
    <t xml:space="preserve">▪ Swap entre criptoativos:  A troca direta entre criptos (swap) é considerada alienação e pode gerar ganho tributável, utilizando o valor de mercado no momento da operação como receita de alienação.</t>
  </si>
  <si>
    <t xml:space="preserve">▪ Perdas de capital:  Prejuízos em vendas de criptoativos podem ser compensados com ganhos futuros do mesmo tipo de ativo dentro do mesmo ano-calendário. Mantenha registros detalhados de todas as operações.</t>
  </si>
  <si>
    <t xml:space="preserve">⚠️  AVISO LEGAL</t>
  </si>
  <si>
    <t xml:space="preserve">▪ Disclaimer:  Esta planilha é uma ferramenta de apoio educacional e NÃO substitui orientação de contador ou advogado tributarista. As regras fiscais mudam; verifique sempre a legislação vigente no site da Receita Federal (gov.br/receitafederal) e na plataforma e-CAC. Os autores não se responsabilizam por eventuais erros ou omissões.</t>
  </si>
  <si>
    <t xml:space="preserve">🔓  LICENÇA OPEN SOURCE</t>
  </si>
  <si>
    <t xml:space="preserve">▪ Feito por Burguêssemdinheiro – Open Source:  Esta planilha é disponibilizada gratuitamente sob licença MIT. Você pode usar, copiar, modificar e distribuir livremente, desde que mantenha os créditos ao autor original. Contribuições são bem-vindas no repositório GitHub: github.com/burguesesemdinheiro/ir-cripto-brasil
Se esta ferramenta te ajudou, compartilhe com a comunidade cripto brasileira! 🚀</t>
  </si>
  <si>
    <t xml:space="preserve">📞  REFERÊNCIAS ÚTEIS</t>
  </si>
  <si>
    <t xml:space="preserve">▪ Receita Federal – Criptomoedas:  https://www.gov.br/receitafederal/pt-br/assuntos/orientacao-tributaria/declaracoes-e-demonstrativos/dirpf/criptomoedas</t>
  </si>
  <si>
    <t xml:space="preserve">▪ Instrução Normativa RFB 1.888/2019:  Obrigatoriedade de prestação de informações sobre operações com criptoativos</t>
  </si>
  <si>
    <t xml:space="preserve">▪ Lei 14.754/2023:  Tributação de aplicações em fundos de investimento e ativos no exterior, incluindo criptos</t>
  </si>
  <si>
    <t xml:space="preserve">▪ Carnê-Leão Web:  https://carne-leao.esocial.gov.br/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</si>
</sst>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0000000"/>
    <numFmt numFmtId="167" formatCode="&quot;R$ &quot;#,##0.00"/>
    <numFmt numFmtId="168" formatCode="dd/mm/yyyy"/>
    <numFmt numFmtId="169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945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E9456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6"/>
      <color rgb="FFE94560"/>
      <name val="Arial"/>
      <family val="0"/>
      <charset val="1"/>
    </font>
    <font>
      <b val="true"/>
      <sz val="12"/>
      <color rgb="FFE9456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FFFFF"/>
        <bgColor rgb="FFF0F4FF"/>
      </patternFill>
    </fill>
    <fill>
      <patternFill patternType="solid">
        <fgColor rgb="FFF0F4FF"/>
        <bgColor rgb="FFFFFFFF"/>
      </patternFill>
    </fill>
    <fill>
      <patternFill patternType="solid">
        <fgColor rgb="FFE94560"/>
        <bgColor rgb="FF993366"/>
      </patternFill>
    </fill>
    <fill>
      <patternFill patternType="solid">
        <fgColor rgb="FF16213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D4"/>
      </left>
      <right style="thin">
        <color rgb="FFB0B8D4"/>
      </right>
      <top style="thin">
        <color rgb="FFB0B8D4"/>
      </top>
      <bottom style="thin">
        <color rgb="FFB0B8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D4"/>
      <rgbColor rgb="FF808080"/>
      <rgbColor rgb="FF9999FF"/>
      <rgbColor rgb="FF993366"/>
      <rgbColor rgb="FFF0F4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3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4" t="s">
        <v>11</v>
      </c>
      <c r="C3" s="4" t="s">
        <v>12</v>
      </c>
      <c r="D3" s="5" t="n">
        <v>0.05</v>
      </c>
      <c r="E3" s="6" t="n">
        <v>580000</v>
      </c>
      <c r="F3" s="7" t="n">
        <f aca="false">D3*E3</f>
        <v>29000</v>
      </c>
      <c r="G3" s="6" t="n">
        <v>29</v>
      </c>
      <c r="H3" s="4" t="s">
        <v>13</v>
      </c>
      <c r="I3" s="4" t="s">
        <v>14</v>
      </c>
    </row>
    <row r="4" customFormat="false" ht="15" hidden="false" customHeight="false" outlineLevel="0" collapsed="false">
      <c r="A4" s="8" t="s">
        <v>15</v>
      </c>
      <c r="B4" s="9" t="s">
        <v>16</v>
      </c>
      <c r="C4" s="9" t="s">
        <v>12</v>
      </c>
      <c r="D4" s="10" t="n">
        <v>0.02</v>
      </c>
      <c r="E4" s="11" t="n">
        <v>620000</v>
      </c>
      <c r="F4" s="12" t="n">
        <f aca="false">D4*E4</f>
        <v>12400</v>
      </c>
      <c r="G4" s="11" t="n">
        <v>12.4</v>
      </c>
      <c r="H4" s="9" t="s">
        <v>13</v>
      </c>
      <c r="I4" s="9" t="s">
        <v>17</v>
      </c>
    </row>
    <row r="5" customFormat="false" ht="15" hidden="false" customHeight="false" outlineLevel="0" collapsed="false">
      <c r="A5" s="3" t="s">
        <v>18</v>
      </c>
      <c r="B5" s="4" t="s">
        <v>19</v>
      </c>
      <c r="C5" s="4" t="s">
        <v>20</v>
      </c>
      <c r="D5" s="5" t="n">
        <v>0.15</v>
      </c>
      <c r="E5" s="6" t="n">
        <v>17500</v>
      </c>
      <c r="F5" s="7" t="n">
        <f aca="false">D5*E5</f>
        <v>2625</v>
      </c>
      <c r="G5" s="6" t="n">
        <v>0</v>
      </c>
      <c r="H5" s="4" t="s">
        <v>21</v>
      </c>
      <c r="I5" s="4" t="s">
        <v>22</v>
      </c>
    </row>
    <row r="6" customFormat="false" ht="15" hidden="false" customHeight="false" outlineLevel="0" collapsed="false">
      <c r="A6" s="8" t="s">
        <v>23</v>
      </c>
      <c r="B6" s="9" t="s">
        <v>11</v>
      </c>
      <c r="C6" s="9" t="s">
        <v>24</v>
      </c>
      <c r="D6" s="10" t="n">
        <v>10</v>
      </c>
      <c r="E6" s="11" t="n">
        <v>870</v>
      </c>
      <c r="F6" s="12" t="n">
        <f aca="false">D6*E6</f>
        <v>8700</v>
      </c>
      <c r="G6" s="11" t="n">
        <v>8.7</v>
      </c>
      <c r="H6" s="9" t="s">
        <v>25</v>
      </c>
      <c r="I6" s="9" t="s">
        <v>26</v>
      </c>
    </row>
    <row r="7" customFormat="false" ht="15" hidden="false" customHeight="false" outlineLevel="0" collapsed="false">
      <c r="F7" s="7" t="str">
        <f aca="false">IF(AND(D7&lt;&gt;"",E7&lt;&gt;""),D7*E7,"")</f>
        <v/>
      </c>
    </row>
    <row r="8" customFormat="false" ht="15" hidden="false" customHeight="false" outlineLevel="0" collapsed="false">
      <c r="F8" s="12" t="str">
        <f aca="false">IF(AND(D8&lt;&gt;"",E8&lt;&gt;""),D8*E8,"")</f>
        <v/>
      </c>
    </row>
    <row r="9" customFormat="false" ht="15" hidden="false" customHeight="false" outlineLevel="0" collapsed="false">
      <c r="F9" s="7" t="str">
        <f aca="false">IF(AND(D9&lt;&gt;"",E9&lt;&gt;""),D9*E9,"")</f>
        <v/>
      </c>
    </row>
    <row r="10" customFormat="false" ht="15" hidden="false" customHeight="false" outlineLevel="0" collapsed="false">
      <c r="F10" s="12" t="str">
        <f aca="false">IF(AND(D10&lt;&gt;"",E10&lt;&gt;""),D10*E10,"")</f>
        <v/>
      </c>
    </row>
    <row r="11" customFormat="false" ht="15" hidden="false" customHeight="false" outlineLevel="0" collapsed="false">
      <c r="F11" s="7" t="str">
        <f aca="false">IF(AND(D11&lt;&gt;"",E11&lt;&gt;""),D11*E11,"")</f>
        <v/>
      </c>
    </row>
    <row r="12" customFormat="false" ht="15" hidden="false" customHeight="false" outlineLevel="0" collapsed="false">
      <c r="F12" s="12" t="str">
        <f aca="false">IF(AND(D12&lt;&gt;"",E12&lt;&gt;""),D12*E12,"")</f>
        <v/>
      </c>
    </row>
    <row r="13" customFormat="false" ht="15" hidden="false" customHeight="false" outlineLevel="0" collapsed="false">
      <c r="F13" s="7" t="str">
        <f aca="false">IF(AND(D13&lt;&gt;"",E13&lt;&gt;""),D13*E13,"")</f>
        <v/>
      </c>
    </row>
    <row r="14" customFormat="false" ht="15" hidden="false" customHeight="false" outlineLevel="0" collapsed="false">
      <c r="F14" s="12" t="str">
        <f aca="false">IF(AND(D14&lt;&gt;"",E14&lt;&gt;""),D14*E14,"")</f>
        <v/>
      </c>
    </row>
    <row r="15" customFormat="false" ht="15" hidden="false" customHeight="false" outlineLevel="0" collapsed="false">
      <c r="F15" s="7" t="str">
        <f aca="false">IF(AND(D15&lt;&gt;"",E15&lt;&gt;""),D15*E15,"")</f>
        <v/>
      </c>
    </row>
    <row r="16" customFormat="false" ht="15" hidden="false" customHeight="false" outlineLevel="0" collapsed="false">
      <c r="F16" s="12" t="str">
        <f aca="false">IF(AND(D16&lt;&gt;"",E16&lt;&gt;""),D16*E16,"")</f>
        <v/>
      </c>
    </row>
    <row r="17" customFormat="false" ht="15" hidden="false" customHeight="false" outlineLevel="0" collapsed="false">
      <c r="F17" s="7" t="str">
        <f aca="false">IF(AND(D17&lt;&gt;"",E17&lt;&gt;""),D17*E17,"")</f>
        <v/>
      </c>
    </row>
    <row r="18" customFormat="false" ht="15" hidden="false" customHeight="false" outlineLevel="0" collapsed="false">
      <c r="F18" s="12" t="str">
        <f aca="false">IF(AND(D18&lt;&gt;"",E18&lt;&gt;""),D18*E18,"")</f>
        <v/>
      </c>
    </row>
    <row r="19" customFormat="false" ht="15" hidden="false" customHeight="false" outlineLevel="0" collapsed="false">
      <c r="F19" s="7" t="str">
        <f aca="false">IF(AND(D19&lt;&gt;"",E19&lt;&gt;""),D19*E19,"")</f>
        <v/>
      </c>
    </row>
    <row r="20" customFormat="false" ht="15" hidden="false" customHeight="false" outlineLevel="0" collapsed="false">
      <c r="F20" s="12" t="str">
        <f aca="false">IF(AND(D20&lt;&gt;"",E20&lt;&gt;""),D20*E20,"")</f>
        <v/>
      </c>
    </row>
    <row r="21" customFormat="false" ht="15" hidden="false" customHeight="false" outlineLevel="0" collapsed="false">
      <c r="F21" s="7" t="str">
        <f aca="false">IF(AND(D21&lt;&gt;"",E21&lt;&gt;""),D21*E21,"")</f>
        <v/>
      </c>
    </row>
    <row r="22" customFormat="false" ht="15" hidden="false" customHeight="false" outlineLevel="0" collapsed="false">
      <c r="F22" s="12" t="str">
        <f aca="false">IF(AND(D22&lt;&gt;"",E22&lt;&gt;""),D22*E22,"")</f>
        <v/>
      </c>
    </row>
    <row r="23" customFormat="false" ht="15" hidden="false" customHeight="false" outlineLevel="0" collapsed="false">
      <c r="F23" s="7" t="str">
        <f aca="false">IF(AND(D23&lt;&gt;"",E23&lt;&gt;""),D23*E23,"")</f>
        <v/>
      </c>
    </row>
    <row r="24" customFormat="false" ht="15" hidden="false" customHeight="false" outlineLevel="0" collapsed="false">
      <c r="F24" s="12" t="str">
        <f aca="false">IF(AND(D24&lt;&gt;"",E24&lt;&gt;""),D24*E24,"")</f>
        <v/>
      </c>
    </row>
    <row r="25" customFormat="false" ht="15" hidden="false" customHeight="false" outlineLevel="0" collapsed="false">
      <c r="F25" s="7" t="str">
        <f aca="false">IF(AND(D25&lt;&gt;"",E25&lt;&gt;""),D25*E25,"")</f>
        <v/>
      </c>
    </row>
    <row r="26" customFormat="false" ht="15" hidden="false" customHeight="false" outlineLevel="0" collapsed="false">
      <c r="F26" s="12" t="str">
        <f aca="false">IF(AND(D26&lt;&gt;"",E26&lt;&gt;""),D26*E26,"")</f>
        <v/>
      </c>
    </row>
    <row r="27" customFormat="false" ht="15" hidden="false" customHeight="false" outlineLevel="0" collapsed="false">
      <c r="F27" s="7" t="str">
        <f aca="false">IF(AND(D27&lt;&gt;"",E27&lt;&gt;""),D27*E27,"")</f>
        <v/>
      </c>
    </row>
    <row r="28" customFormat="false" ht="15" hidden="false" customHeight="false" outlineLevel="0" collapsed="false">
      <c r="F28" s="12" t="str">
        <f aca="false">IF(AND(D28&lt;&gt;"",E28&lt;&gt;""),D28*E28,"")</f>
        <v/>
      </c>
    </row>
    <row r="29" customFormat="false" ht="15" hidden="false" customHeight="false" outlineLevel="0" collapsed="false">
      <c r="F29" s="7" t="str">
        <f aca="false">IF(AND(D29&lt;&gt;"",E29&lt;&gt;""),D29*E29,"")</f>
        <v/>
      </c>
    </row>
    <row r="30" customFormat="false" ht="15" hidden="false" customHeight="false" outlineLevel="0" collapsed="false">
      <c r="F30" s="12" t="str">
        <f aca="false">IF(AND(D30&lt;&gt;"",E30&lt;&gt;""),D30*E30,"")</f>
        <v/>
      </c>
    </row>
    <row r="31" customFormat="false" ht="15" hidden="false" customHeight="false" outlineLevel="0" collapsed="false">
      <c r="F31" s="7" t="str">
        <f aca="false">IF(AND(D31&lt;&gt;"",E31&lt;&gt;""),D31*E31,"")</f>
        <v/>
      </c>
    </row>
    <row r="32" customFormat="false" ht="15" hidden="false" customHeight="false" outlineLevel="0" collapsed="false">
      <c r="F32" s="12" t="str">
        <f aca="false">IF(AND(D32&lt;&gt;"",E32&lt;&gt;""),D32*E32,"")</f>
        <v/>
      </c>
    </row>
    <row r="33" customFormat="false" ht="15" hidden="false" customHeight="false" outlineLevel="0" collapsed="false">
      <c r="F33" s="7" t="str">
        <f aca="false">IF(AND(D33&lt;&gt;"",E33&lt;&gt;""),D33*E33,"")</f>
        <v/>
      </c>
    </row>
    <row r="34" customFormat="false" ht="15" hidden="false" customHeight="false" outlineLevel="0" collapsed="false">
      <c r="F34" s="12" t="str">
        <f aca="false">IF(AND(D34&lt;&gt;"",E34&lt;&gt;""),D34*E34,"")</f>
        <v/>
      </c>
    </row>
    <row r="35" customFormat="false" ht="15" hidden="false" customHeight="false" outlineLevel="0" collapsed="false">
      <c r="F35" s="7" t="str">
        <f aca="false">IF(AND(D35&lt;&gt;"",E35&lt;&gt;""),D35*E35,"")</f>
        <v/>
      </c>
    </row>
    <row r="36" customFormat="false" ht="15" hidden="false" customHeight="false" outlineLevel="0" collapsed="false">
      <c r="F36" s="12" t="str">
        <f aca="false">IF(AND(D36&lt;&gt;"",E36&lt;&gt;""),D36*E36,"")</f>
        <v/>
      </c>
    </row>
    <row r="37" customFormat="false" ht="15" hidden="false" customHeight="false" outlineLevel="0" collapsed="false">
      <c r="F37" s="7" t="str">
        <f aca="false">IF(AND(D37&lt;&gt;"",E37&lt;&gt;""),D37*E37,"")</f>
        <v/>
      </c>
    </row>
    <row r="38" customFormat="false" ht="15" hidden="false" customHeight="false" outlineLevel="0" collapsed="false">
      <c r="F38" s="12" t="str">
        <f aca="false">IF(AND(D38&lt;&gt;"",E38&lt;&gt;""),D38*E38,"")</f>
        <v/>
      </c>
    </row>
    <row r="39" customFormat="false" ht="15" hidden="false" customHeight="false" outlineLevel="0" collapsed="false">
      <c r="F39" s="7" t="str">
        <f aca="false">IF(AND(D39&lt;&gt;"",E39&lt;&gt;""),D39*E39,"")</f>
        <v/>
      </c>
    </row>
    <row r="40" customFormat="false" ht="15" hidden="false" customHeight="false" outlineLevel="0" collapsed="false">
      <c r="F40" s="12" t="str">
        <f aca="false">IF(AND(D40&lt;&gt;"",E40&lt;&gt;""),D40*E40,"")</f>
        <v/>
      </c>
    </row>
    <row r="41" customFormat="false" ht="15" hidden="false" customHeight="false" outlineLevel="0" collapsed="false">
      <c r="F41" s="7" t="str">
        <f aca="false">IF(AND(D41&lt;&gt;"",E41&lt;&gt;""),D41*E41,"")</f>
        <v/>
      </c>
    </row>
    <row r="42" customFormat="false" ht="15" hidden="false" customHeight="false" outlineLevel="0" collapsed="false">
      <c r="F42" s="12" t="str">
        <f aca="false">IF(AND(D42&lt;&gt;"",E42&lt;&gt;""),D42*E42,"")</f>
        <v/>
      </c>
    </row>
    <row r="43" customFormat="false" ht="15" hidden="false" customHeight="false" outlineLevel="0" collapsed="false">
      <c r="F43" s="7" t="str">
        <f aca="false">IF(AND(D43&lt;&gt;"",E43&lt;&gt;""),D43*E43,"")</f>
        <v/>
      </c>
    </row>
    <row r="44" customFormat="false" ht="15" hidden="false" customHeight="false" outlineLevel="0" collapsed="false">
      <c r="F44" s="12" t="str">
        <f aca="false">IF(AND(D44&lt;&gt;"",E44&lt;&gt;""),D44*E44,"")</f>
        <v/>
      </c>
    </row>
    <row r="45" customFormat="false" ht="15" hidden="false" customHeight="false" outlineLevel="0" collapsed="false">
      <c r="F45" s="7" t="str">
        <f aca="false">IF(AND(D45&lt;&gt;"",E45&lt;&gt;""),D45*E45,"")</f>
        <v/>
      </c>
    </row>
    <row r="46" customFormat="false" ht="15" hidden="false" customHeight="false" outlineLevel="0" collapsed="false">
      <c r="F46" s="12" t="str">
        <f aca="false">IF(AND(D46&lt;&gt;"",E46&lt;&gt;""),D46*E46,"")</f>
        <v/>
      </c>
    </row>
    <row r="47" customFormat="false" ht="15" hidden="false" customHeight="false" outlineLevel="0" collapsed="false">
      <c r="F47" s="7" t="str">
        <f aca="false">IF(AND(D47&lt;&gt;"",E47&lt;&gt;""),D47*E47,"")</f>
        <v/>
      </c>
    </row>
    <row r="48" customFormat="false" ht="15" hidden="false" customHeight="false" outlineLevel="0" collapsed="false">
      <c r="F48" s="12" t="str">
        <f aca="false">IF(AND(D48&lt;&gt;"",E48&lt;&gt;""),D48*E48,"")</f>
        <v/>
      </c>
    </row>
    <row r="49" customFormat="false" ht="15" hidden="false" customHeight="false" outlineLevel="0" collapsed="false">
      <c r="F49" s="7" t="str">
        <f aca="false">IF(AND(D49&lt;&gt;"",E49&lt;&gt;""),D49*E49,"")</f>
        <v/>
      </c>
    </row>
    <row r="50" customFormat="false" ht="15" hidden="false" customHeight="false" outlineLevel="0" collapsed="false">
      <c r="F50" s="12" t="str">
        <f aca="false">IF(AND(D50&lt;&gt;"",E50&lt;&gt;""),D50*E50,"")</f>
        <v/>
      </c>
    </row>
    <row r="51" customFormat="false" ht="15" hidden="false" customHeight="false" outlineLevel="0" collapsed="false">
      <c r="F51" s="7" t="str">
        <f aca="false">IF(AND(D51&lt;&gt;"",E51&lt;&gt;""),D51*E51,"")</f>
        <v/>
      </c>
    </row>
    <row r="52" customFormat="false" ht="15" hidden="false" customHeight="false" outlineLevel="0" collapsed="false">
      <c r="F52" s="12" t="str">
        <f aca="false">IF(AND(D52&lt;&gt;"",E52&lt;&gt;""),D52*E52,"")</f>
        <v/>
      </c>
    </row>
    <row r="53" customFormat="false" ht="15" hidden="false" customHeight="false" outlineLevel="0" collapsed="false">
      <c r="F53" s="7" t="str">
        <f aca="false">IF(AND(D53&lt;&gt;"",E53&lt;&gt;""),D53*E53,"")</f>
        <v/>
      </c>
    </row>
    <row r="54" customFormat="false" ht="15" hidden="false" customHeight="false" outlineLevel="0" collapsed="false">
      <c r="F54" s="12" t="str">
        <f aca="false">IF(AND(D54&lt;&gt;"",E54&lt;&gt;""),D54*E54,"")</f>
        <v/>
      </c>
    </row>
    <row r="55" customFormat="false" ht="15" hidden="false" customHeight="false" outlineLevel="0" collapsed="false">
      <c r="F55" s="7" t="str">
        <f aca="false">IF(AND(D55&lt;&gt;"",E55&lt;&gt;""),D55*E55,"")</f>
        <v/>
      </c>
    </row>
    <row r="56" customFormat="false" ht="15" hidden="false" customHeight="false" outlineLevel="0" collapsed="false">
      <c r="F56" s="12" t="str">
        <f aca="false">IF(AND(D56&lt;&gt;"",E56&lt;&gt;""),D56*E56,"")</f>
        <v/>
      </c>
    </row>
    <row r="57" customFormat="false" ht="15" hidden="false" customHeight="false" outlineLevel="0" collapsed="false">
      <c r="F57" s="7" t="str">
        <f aca="false">IF(AND(D57&lt;&gt;"",E57&lt;&gt;""),D57*E57,"")</f>
        <v/>
      </c>
    </row>
    <row r="58" customFormat="false" ht="15" hidden="false" customHeight="false" outlineLevel="0" collapsed="false">
      <c r="F58" s="12" t="str">
        <f aca="false">IF(AND(D58&lt;&gt;"",E58&lt;&gt;""),D58*E58,"")</f>
        <v/>
      </c>
    </row>
    <row r="59" customFormat="false" ht="15" hidden="false" customHeight="false" outlineLevel="0" collapsed="false">
      <c r="F59" s="7" t="str">
        <f aca="false">IF(AND(D59&lt;&gt;"",E59&lt;&gt;""),D59*E59,"")</f>
        <v/>
      </c>
    </row>
    <row r="60" customFormat="false" ht="15" hidden="false" customHeight="false" outlineLevel="0" collapsed="false">
      <c r="F60" s="12" t="str">
        <f aca="false">IF(AND(D60&lt;&gt;"",E60&lt;&gt;""),D60*E60,"")</f>
        <v/>
      </c>
    </row>
    <row r="61" customFormat="false" ht="15" hidden="false" customHeight="false" outlineLevel="0" collapsed="false">
      <c r="F61" s="7" t="str">
        <f aca="false">IF(AND(D61&lt;&gt;"",E61&lt;&gt;""),D61*E61,"")</f>
        <v/>
      </c>
    </row>
    <row r="62" customFormat="false" ht="15" hidden="false" customHeight="false" outlineLevel="0" collapsed="false">
      <c r="F62" s="12" t="str">
        <f aca="false">IF(AND(D62&lt;&gt;"",E62&lt;&gt;""),D62*E62,"")</f>
        <v/>
      </c>
    </row>
    <row r="63" customFormat="false" ht="15" hidden="false" customHeight="false" outlineLevel="0" collapsed="false">
      <c r="F63" s="7" t="str">
        <f aca="false">IF(AND(D63&lt;&gt;"",E63&lt;&gt;""),D63*E63,"")</f>
        <v/>
      </c>
    </row>
    <row r="64" customFormat="false" ht="15" hidden="false" customHeight="false" outlineLevel="0" collapsed="false">
      <c r="F64" s="12" t="str">
        <f aca="false">IF(AND(D64&lt;&gt;"",E64&lt;&gt;""),D64*E64,"")</f>
        <v/>
      </c>
    </row>
    <row r="65" customFormat="false" ht="15" hidden="false" customHeight="false" outlineLevel="0" collapsed="false">
      <c r="F65" s="7" t="str">
        <f aca="false">IF(AND(D65&lt;&gt;"",E65&lt;&gt;""),D65*E65,"")</f>
        <v/>
      </c>
    </row>
    <row r="66" customFormat="false" ht="15" hidden="false" customHeight="false" outlineLevel="0" collapsed="false">
      <c r="F66" s="12" t="str">
        <f aca="false">IF(AND(D66&lt;&gt;"",E66&lt;&gt;""),D66*E66,"")</f>
        <v/>
      </c>
    </row>
    <row r="67" customFormat="false" ht="15" hidden="false" customHeight="false" outlineLevel="0" collapsed="false">
      <c r="F67" s="7" t="str">
        <f aca="false">IF(AND(D67&lt;&gt;"",E67&lt;&gt;""),D67*E67,"")</f>
        <v/>
      </c>
    </row>
    <row r="68" customFormat="false" ht="15" hidden="false" customHeight="false" outlineLevel="0" collapsed="false">
      <c r="F68" s="12" t="str">
        <f aca="false">IF(AND(D68&lt;&gt;"",E68&lt;&gt;""),D68*E68,"")</f>
        <v/>
      </c>
    </row>
    <row r="69" customFormat="false" ht="15" hidden="false" customHeight="false" outlineLevel="0" collapsed="false">
      <c r="F69" s="7" t="str">
        <f aca="false">IF(AND(D69&lt;&gt;"",E69&lt;&gt;""),D69*E69,"")</f>
        <v/>
      </c>
    </row>
    <row r="70" customFormat="false" ht="15" hidden="false" customHeight="false" outlineLevel="0" collapsed="false">
      <c r="F70" s="12" t="str">
        <f aca="false">IF(AND(D70&lt;&gt;"",E70&lt;&gt;""),D70*E70,"")</f>
        <v/>
      </c>
    </row>
    <row r="71" customFormat="false" ht="15" hidden="false" customHeight="false" outlineLevel="0" collapsed="false">
      <c r="F71" s="7" t="str">
        <f aca="false">IF(AND(D71&lt;&gt;"",E71&lt;&gt;""),D71*E71,"")</f>
        <v/>
      </c>
    </row>
    <row r="72" customFormat="false" ht="15" hidden="false" customHeight="false" outlineLevel="0" collapsed="false">
      <c r="F72" s="12" t="str">
        <f aca="false">IF(AND(D72&lt;&gt;"",E72&lt;&gt;""),D72*E72,"")</f>
        <v/>
      </c>
    </row>
    <row r="73" customFormat="false" ht="15" hidden="false" customHeight="false" outlineLevel="0" collapsed="false">
      <c r="F73" s="7" t="str">
        <f aca="false">IF(AND(D73&lt;&gt;"",E73&lt;&gt;""),D73*E73,"")</f>
        <v/>
      </c>
    </row>
    <row r="74" customFormat="false" ht="15" hidden="false" customHeight="false" outlineLevel="0" collapsed="false">
      <c r="F74" s="12" t="str">
        <f aca="false">IF(AND(D74&lt;&gt;"",E74&lt;&gt;""),D74*E74,"")</f>
        <v/>
      </c>
    </row>
    <row r="75" customFormat="false" ht="15" hidden="false" customHeight="false" outlineLevel="0" collapsed="false">
      <c r="F75" s="7" t="str">
        <f aca="false">IF(AND(D75&lt;&gt;"",E75&lt;&gt;""),D75*E75,"")</f>
        <v/>
      </c>
    </row>
    <row r="76" customFormat="false" ht="15" hidden="false" customHeight="false" outlineLevel="0" collapsed="false">
      <c r="F76" s="12" t="str">
        <f aca="false">IF(AND(D76&lt;&gt;"",E76&lt;&gt;""),D76*E76,"")</f>
        <v/>
      </c>
    </row>
    <row r="77" customFormat="false" ht="15" hidden="false" customHeight="false" outlineLevel="0" collapsed="false">
      <c r="F77" s="7" t="str">
        <f aca="false">IF(AND(D77&lt;&gt;"",E77&lt;&gt;""),D77*E77,"")</f>
        <v/>
      </c>
    </row>
    <row r="78" customFormat="false" ht="15" hidden="false" customHeight="false" outlineLevel="0" collapsed="false">
      <c r="F78" s="12" t="str">
        <f aca="false">IF(AND(D78&lt;&gt;"",E78&lt;&gt;""),D78*E78,"")</f>
        <v/>
      </c>
    </row>
    <row r="79" customFormat="false" ht="15" hidden="false" customHeight="false" outlineLevel="0" collapsed="false">
      <c r="F79" s="7" t="str">
        <f aca="false">IF(AND(D79&lt;&gt;"",E79&lt;&gt;""),D79*E79,"")</f>
        <v/>
      </c>
    </row>
    <row r="80" customFormat="false" ht="15" hidden="false" customHeight="false" outlineLevel="0" collapsed="false">
      <c r="F80" s="12" t="str">
        <f aca="false">IF(AND(D80&lt;&gt;"",E80&lt;&gt;""),D80*E80,"")</f>
        <v/>
      </c>
    </row>
    <row r="81" customFormat="false" ht="15" hidden="false" customHeight="false" outlineLevel="0" collapsed="false">
      <c r="F81" s="7" t="str">
        <f aca="false">IF(AND(D81&lt;&gt;"",E81&lt;&gt;""),D81*E81,"")</f>
        <v/>
      </c>
    </row>
    <row r="82" customFormat="false" ht="15" hidden="false" customHeight="false" outlineLevel="0" collapsed="false">
      <c r="F82" s="12" t="str">
        <f aca="false">IF(AND(D82&lt;&gt;"",E82&lt;&gt;""),D82*E82,"")</f>
        <v/>
      </c>
    </row>
    <row r="83" customFormat="false" ht="15" hidden="false" customHeight="false" outlineLevel="0" collapsed="false">
      <c r="F83" s="7" t="str">
        <f aca="false">IF(AND(D83&lt;&gt;"",E83&lt;&gt;""),D83*E83,"")</f>
        <v/>
      </c>
    </row>
    <row r="84" customFormat="false" ht="15" hidden="false" customHeight="false" outlineLevel="0" collapsed="false">
      <c r="F84" s="12" t="str">
        <f aca="false">IF(AND(D84&lt;&gt;"",E84&lt;&gt;""),D84*E84,"")</f>
        <v/>
      </c>
    </row>
    <row r="85" customFormat="false" ht="15" hidden="false" customHeight="false" outlineLevel="0" collapsed="false">
      <c r="F85" s="7" t="str">
        <f aca="false">IF(AND(D85&lt;&gt;"",E85&lt;&gt;""),D85*E85,"")</f>
        <v/>
      </c>
    </row>
    <row r="86" customFormat="false" ht="15" hidden="false" customHeight="false" outlineLevel="0" collapsed="false">
      <c r="F86" s="12" t="str">
        <f aca="false">IF(AND(D86&lt;&gt;"",E86&lt;&gt;""),D86*E86,"")</f>
        <v/>
      </c>
    </row>
    <row r="87" customFormat="false" ht="15" hidden="false" customHeight="false" outlineLevel="0" collapsed="false">
      <c r="F87" s="7" t="str">
        <f aca="false">IF(AND(D87&lt;&gt;"",E87&lt;&gt;""),D87*E87,"")</f>
        <v/>
      </c>
    </row>
    <row r="88" customFormat="false" ht="15" hidden="false" customHeight="false" outlineLevel="0" collapsed="false">
      <c r="F88" s="12" t="str">
        <f aca="false">IF(AND(D88&lt;&gt;"",E88&lt;&gt;""),D88*E88,"")</f>
        <v/>
      </c>
    </row>
    <row r="89" customFormat="false" ht="15" hidden="false" customHeight="false" outlineLevel="0" collapsed="false">
      <c r="F89" s="7" t="str">
        <f aca="false">IF(AND(D89&lt;&gt;"",E89&lt;&gt;""),D89*E89,"")</f>
        <v/>
      </c>
    </row>
    <row r="90" customFormat="false" ht="15" hidden="false" customHeight="false" outlineLevel="0" collapsed="false">
      <c r="F90" s="12" t="str">
        <f aca="false">IF(AND(D90&lt;&gt;"",E90&lt;&gt;""),D90*E90,"")</f>
        <v/>
      </c>
    </row>
    <row r="91" customFormat="false" ht="15" hidden="false" customHeight="false" outlineLevel="0" collapsed="false">
      <c r="F91" s="7" t="str">
        <f aca="false">IF(AND(D91&lt;&gt;"",E91&lt;&gt;""),D91*E91,"")</f>
        <v/>
      </c>
    </row>
    <row r="92" customFormat="false" ht="15" hidden="false" customHeight="false" outlineLevel="0" collapsed="false">
      <c r="F92" s="12" t="str">
        <f aca="false">IF(AND(D92&lt;&gt;"",E92&lt;&gt;""),D92*E92,"")</f>
        <v/>
      </c>
    </row>
    <row r="93" customFormat="false" ht="15" hidden="false" customHeight="false" outlineLevel="0" collapsed="false">
      <c r="F93" s="7" t="str">
        <f aca="false">IF(AND(D93&lt;&gt;"",E93&lt;&gt;""),D93*E93,"")</f>
        <v/>
      </c>
    </row>
    <row r="94" customFormat="false" ht="15" hidden="false" customHeight="false" outlineLevel="0" collapsed="false">
      <c r="F94" s="12" t="str">
        <f aca="false">IF(AND(D94&lt;&gt;"",E94&lt;&gt;""),D94*E94,"")</f>
        <v/>
      </c>
    </row>
    <row r="95" customFormat="false" ht="15" hidden="false" customHeight="false" outlineLevel="0" collapsed="false">
      <c r="F95" s="7" t="str">
        <f aca="false">IF(AND(D95&lt;&gt;"",E95&lt;&gt;""),D95*E95,"")</f>
        <v/>
      </c>
    </row>
    <row r="96" customFormat="false" ht="15" hidden="false" customHeight="false" outlineLevel="0" collapsed="false">
      <c r="F96" s="12" t="str">
        <f aca="false">IF(AND(D96&lt;&gt;"",E96&lt;&gt;""),D96*E96,"")</f>
        <v/>
      </c>
    </row>
    <row r="97" customFormat="false" ht="15" hidden="false" customHeight="false" outlineLevel="0" collapsed="false">
      <c r="F97" s="7" t="str">
        <f aca="false">IF(AND(D97&lt;&gt;"",E97&lt;&gt;""),D97*E97,"")</f>
        <v/>
      </c>
    </row>
    <row r="98" customFormat="false" ht="15" hidden="false" customHeight="false" outlineLevel="0" collapsed="false">
      <c r="F98" s="12" t="str">
        <f aca="false">IF(AND(D98&lt;&gt;"",E98&lt;&gt;""),D98*E98,"")</f>
        <v/>
      </c>
    </row>
    <row r="99" customFormat="false" ht="15" hidden="false" customHeight="false" outlineLevel="0" collapsed="false">
      <c r="F99" s="7" t="str">
        <f aca="false">IF(AND(D99&lt;&gt;"",E99&lt;&gt;""),D99*E99,"")</f>
        <v/>
      </c>
    </row>
    <row r="100" customFormat="false" ht="15" hidden="false" customHeight="false" outlineLevel="0" collapsed="false">
      <c r="F100" s="12" t="str">
        <f aca="false">IF(AND(D100&lt;&gt;"",E100&lt;&gt;""),D100*E100,"")</f>
        <v/>
      </c>
    </row>
    <row r="101" customFormat="false" ht="15" hidden="false" customHeight="false" outlineLevel="0" collapsed="false">
      <c r="F101" s="7" t="str">
        <f aca="false">IF(AND(D101&lt;&gt;"",E101&lt;&gt;""),D101*E101,"")</f>
        <v/>
      </c>
    </row>
    <row r="102" customFormat="false" ht="15" hidden="false" customHeight="false" outlineLevel="0" collapsed="false">
      <c r="F102" s="12" t="str">
        <f aca="false">IF(AND(D102&lt;&gt;"",E102&lt;&gt;""),D102*E102,"")</f>
        <v/>
      </c>
    </row>
    <row r="103" customFormat="false" ht="15" hidden="false" customHeight="false" outlineLevel="0" collapsed="false">
      <c r="F103" s="7" t="str">
        <f aca="false">IF(AND(D103&lt;&gt;"",E103&lt;&gt;""),D103*E103,"")</f>
        <v/>
      </c>
    </row>
    <row r="104" customFormat="false" ht="15" hidden="false" customHeight="false" outlineLevel="0" collapsed="false">
      <c r="F104" s="12" t="str">
        <f aca="false">IF(AND(D104&lt;&gt;"",E104&lt;&gt;""),D104*E104,"")</f>
        <v/>
      </c>
    </row>
    <row r="105" customFormat="false" ht="15" hidden="false" customHeight="false" outlineLevel="0" collapsed="false">
      <c r="F105" s="7" t="str">
        <f aca="false">IF(AND(D105&lt;&gt;"",E105&lt;&gt;""),D105*E105,"")</f>
        <v/>
      </c>
    </row>
    <row r="106" customFormat="false" ht="15" hidden="false" customHeight="false" outlineLevel="0" collapsed="false">
      <c r="F106" s="12" t="str">
        <f aca="false">IF(AND(D106&lt;&gt;"",E106&lt;&gt;""),D106*E106,"")</f>
        <v/>
      </c>
    </row>
    <row r="107" customFormat="false" ht="15" hidden="false" customHeight="false" outlineLevel="0" collapsed="false">
      <c r="F107" s="7" t="str">
        <f aca="false">IF(AND(D107&lt;&gt;"",E107&lt;&gt;""),D107*E107,"")</f>
        <v/>
      </c>
    </row>
    <row r="108" customFormat="false" ht="15" hidden="false" customHeight="false" outlineLevel="0" collapsed="false">
      <c r="F108" s="12" t="str">
        <f aca="false">IF(AND(D108&lt;&gt;"",E108&lt;&gt;""),D108*E108,"")</f>
        <v/>
      </c>
    </row>
    <row r="109" customFormat="false" ht="15" hidden="false" customHeight="false" outlineLevel="0" collapsed="false">
      <c r="F109" s="7" t="str">
        <f aca="false">IF(AND(D109&lt;&gt;"",E109&lt;&gt;""),D109*E109,"")</f>
        <v/>
      </c>
    </row>
    <row r="110" customFormat="false" ht="15" hidden="false" customHeight="false" outlineLevel="0" collapsed="false">
      <c r="F110" s="12" t="str">
        <f aca="false">IF(AND(D110&lt;&gt;"",E110&lt;&gt;""),D110*E110,"")</f>
        <v/>
      </c>
    </row>
    <row r="111" customFormat="false" ht="15" hidden="false" customHeight="false" outlineLevel="0" collapsed="false">
      <c r="F111" s="7" t="str">
        <f aca="false">IF(AND(D111&lt;&gt;"",E111&lt;&gt;""),D111*E111,"")</f>
        <v/>
      </c>
    </row>
    <row r="112" customFormat="false" ht="15" hidden="false" customHeight="false" outlineLevel="0" collapsed="false">
      <c r="F112" s="12" t="str">
        <f aca="false">IF(AND(D112&lt;&gt;"",E112&lt;&gt;""),D112*E112,"")</f>
        <v/>
      </c>
    </row>
    <row r="113" customFormat="false" ht="15" hidden="false" customHeight="false" outlineLevel="0" collapsed="false">
      <c r="F113" s="7" t="str">
        <f aca="false">IF(AND(D113&lt;&gt;"",E113&lt;&gt;""),D113*E113,"")</f>
        <v/>
      </c>
    </row>
    <row r="114" customFormat="false" ht="15" hidden="false" customHeight="false" outlineLevel="0" collapsed="false">
      <c r="F114" s="12" t="str">
        <f aca="false">IF(AND(D114&lt;&gt;"",E114&lt;&gt;""),D114*E114,"")</f>
        <v/>
      </c>
    </row>
    <row r="115" customFormat="false" ht="15" hidden="false" customHeight="false" outlineLevel="0" collapsed="false">
      <c r="F115" s="7" t="str">
        <f aca="false">IF(AND(D115&lt;&gt;"",E115&lt;&gt;""),D115*E115,"")</f>
        <v/>
      </c>
    </row>
    <row r="116" customFormat="false" ht="15" hidden="false" customHeight="false" outlineLevel="0" collapsed="false">
      <c r="F116" s="12" t="str">
        <f aca="false">IF(AND(D116&lt;&gt;"",E116&lt;&gt;""),D116*E116,"")</f>
        <v/>
      </c>
    </row>
    <row r="117" customFormat="false" ht="15" hidden="false" customHeight="false" outlineLevel="0" collapsed="false">
      <c r="F117" s="7" t="str">
        <f aca="false">IF(AND(D117&lt;&gt;"",E117&lt;&gt;""),D117*E117,"")</f>
        <v/>
      </c>
    </row>
    <row r="118" customFormat="false" ht="15" hidden="false" customHeight="false" outlineLevel="0" collapsed="false">
      <c r="F118" s="12" t="str">
        <f aca="false">IF(AND(D118&lt;&gt;"",E118&lt;&gt;""),D118*E118,"")</f>
        <v/>
      </c>
    </row>
    <row r="119" customFormat="false" ht="15" hidden="false" customHeight="false" outlineLevel="0" collapsed="false">
      <c r="F119" s="7" t="str">
        <f aca="false">IF(AND(D119&lt;&gt;"",E119&lt;&gt;""),D119*E119,"")</f>
        <v/>
      </c>
    </row>
    <row r="120" customFormat="false" ht="15" hidden="false" customHeight="false" outlineLevel="0" collapsed="false">
      <c r="F120" s="12" t="str">
        <f aca="false">IF(AND(D120&lt;&gt;"",E120&lt;&gt;""),D120*E120,"")</f>
        <v/>
      </c>
    </row>
    <row r="121" customFormat="false" ht="15" hidden="false" customHeight="false" outlineLevel="0" collapsed="false">
      <c r="F121" s="7" t="str">
        <f aca="false">IF(AND(D121&lt;&gt;"",E121&lt;&gt;""),D121*E121,"")</f>
        <v/>
      </c>
    </row>
    <row r="122" customFormat="false" ht="15" hidden="false" customHeight="false" outlineLevel="0" collapsed="false">
      <c r="F122" s="12" t="str">
        <f aca="false">IF(AND(D122&lt;&gt;"",E122&lt;&gt;""),D122*E122,"")</f>
        <v/>
      </c>
    </row>
    <row r="123" customFormat="false" ht="15" hidden="false" customHeight="false" outlineLevel="0" collapsed="false">
      <c r="F123" s="7" t="str">
        <f aca="false">IF(AND(D123&lt;&gt;"",E123&lt;&gt;""),D123*E123,"")</f>
        <v/>
      </c>
    </row>
    <row r="124" customFormat="false" ht="15" hidden="false" customHeight="false" outlineLevel="0" collapsed="false">
      <c r="F124" s="12" t="str">
        <f aca="false">IF(AND(D124&lt;&gt;"",E124&lt;&gt;""),D124*E124,"")</f>
        <v/>
      </c>
    </row>
    <row r="125" customFormat="false" ht="15" hidden="false" customHeight="false" outlineLevel="0" collapsed="false">
      <c r="F125" s="7" t="str">
        <f aca="false">IF(AND(D125&lt;&gt;"",E125&lt;&gt;""),D125*E125,"")</f>
        <v/>
      </c>
    </row>
    <row r="126" customFormat="false" ht="15" hidden="false" customHeight="false" outlineLevel="0" collapsed="false">
      <c r="F126" s="12" t="str">
        <f aca="false">IF(AND(D126&lt;&gt;"",E126&lt;&gt;""),D126*E126,"")</f>
        <v/>
      </c>
    </row>
    <row r="127" customFormat="false" ht="15" hidden="false" customHeight="false" outlineLevel="0" collapsed="false">
      <c r="F127" s="7" t="str">
        <f aca="false">IF(AND(D127&lt;&gt;"",E127&lt;&gt;""),D127*E127,"")</f>
        <v/>
      </c>
    </row>
    <row r="128" customFormat="false" ht="15" hidden="false" customHeight="false" outlineLevel="0" collapsed="false">
      <c r="F128" s="12" t="str">
        <f aca="false">IF(AND(D128&lt;&gt;"",E128&lt;&gt;""),D128*E128,"")</f>
        <v/>
      </c>
    </row>
    <row r="129" customFormat="false" ht="15" hidden="false" customHeight="false" outlineLevel="0" collapsed="false">
      <c r="F129" s="7" t="str">
        <f aca="false">IF(AND(D129&lt;&gt;"",E129&lt;&gt;""),D129*E129,"")</f>
        <v/>
      </c>
    </row>
    <row r="130" customFormat="false" ht="15" hidden="false" customHeight="false" outlineLevel="0" collapsed="false">
      <c r="F130" s="12" t="str">
        <f aca="false">IF(AND(D130&lt;&gt;"",E130&lt;&gt;""),D130*E130,"")</f>
        <v/>
      </c>
    </row>
    <row r="131" customFormat="false" ht="15" hidden="false" customHeight="false" outlineLevel="0" collapsed="false">
      <c r="F131" s="7" t="str">
        <f aca="false">IF(AND(D131&lt;&gt;"",E131&lt;&gt;""),D131*E131,"")</f>
        <v/>
      </c>
    </row>
    <row r="132" customFormat="false" ht="15" hidden="false" customHeight="false" outlineLevel="0" collapsed="false">
      <c r="F132" s="12" t="str">
        <f aca="false">IF(AND(D132&lt;&gt;"",E132&lt;&gt;""),D132*E132,"")</f>
        <v/>
      </c>
    </row>
    <row r="133" customFormat="false" ht="15" hidden="false" customHeight="false" outlineLevel="0" collapsed="false">
      <c r="F133" s="7" t="str">
        <f aca="false">IF(AND(D133&lt;&gt;"",E133&lt;&gt;""),D133*E133,"")</f>
        <v/>
      </c>
    </row>
    <row r="134" customFormat="false" ht="15" hidden="false" customHeight="false" outlineLevel="0" collapsed="false">
      <c r="F134" s="12" t="str">
        <f aca="false">IF(AND(D134&lt;&gt;"",E134&lt;&gt;""),D134*E134,"")</f>
        <v/>
      </c>
    </row>
    <row r="135" customFormat="false" ht="15" hidden="false" customHeight="false" outlineLevel="0" collapsed="false">
      <c r="F135" s="7" t="str">
        <f aca="false">IF(AND(D135&lt;&gt;"",E135&lt;&gt;""),D135*E135,"")</f>
        <v/>
      </c>
    </row>
    <row r="136" customFormat="false" ht="15" hidden="false" customHeight="false" outlineLevel="0" collapsed="false">
      <c r="F136" s="12" t="str">
        <f aca="false">IF(AND(D136&lt;&gt;"",E136&lt;&gt;""),D136*E136,"")</f>
        <v/>
      </c>
    </row>
    <row r="137" customFormat="false" ht="15" hidden="false" customHeight="false" outlineLevel="0" collapsed="false">
      <c r="F137" s="7" t="str">
        <f aca="false">IF(AND(D137&lt;&gt;"",E137&lt;&gt;""),D137*E137,"")</f>
        <v/>
      </c>
    </row>
    <row r="138" customFormat="false" ht="15" hidden="false" customHeight="false" outlineLevel="0" collapsed="false">
      <c r="F138" s="12" t="str">
        <f aca="false">IF(AND(D138&lt;&gt;"",E138&lt;&gt;""),D138*E138,"")</f>
        <v/>
      </c>
    </row>
    <row r="139" customFormat="false" ht="15" hidden="false" customHeight="false" outlineLevel="0" collapsed="false">
      <c r="F139" s="7" t="str">
        <f aca="false">IF(AND(D139&lt;&gt;"",E139&lt;&gt;""),D139*E139,"")</f>
        <v/>
      </c>
    </row>
    <row r="140" customFormat="false" ht="15" hidden="false" customHeight="false" outlineLevel="0" collapsed="false">
      <c r="F140" s="12" t="str">
        <f aca="false">IF(AND(D140&lt;&gt;"",E140&lt;&gt;""),D140*E140,"")</f>
        <v/>
      </c>
    </row>
    <row r="141" customFormat="false" ht="15" hidden="false" customHeight="false" outlineLevel="0" collapsed="false">
      <c r="F141" s="7" t="str">
        <f aca="false">IF(AND(D141&lt;&gt;"",E141&lt;&gt;""),D141*E141,"")</f>
        <v/>
      </c>
    </row>
    <row r="142" customFormat="false" ht="15" hidden="false" customHeight="false" outlineLevel="0" collapsed="false">
      <c r="F142" s="12" t="str">
        <f aca="false">IF(AND(D142&lt;&gt;"",E142&lt;&gt;""),D142*E142,"")</f>
        <v/>
      </c>
    </row>
    <row r="143" customFormat="false" ht="15" hidden="false" customHeight="false" outlineLevel="0" collapsed="false">
      <c r="F143" s="7" t="str">
        <f aca="false">IF(AND(D143&lt;&gt;"",E143&lt;&gt;""),D143*E143,"")</f>
        <v/>
      </c>
    </row>
    <row r="144" customFormat="false" ht="15" hidden="false" customHeight="false" outlineLevel="0" collapsed="false">
      <c r="F144" s="12" t="str">
        <f aca="false">IF(AND(D144&lt;&gt;"",E144&lt;&gt;""),D144*E144,"")</f>
        <v/>
      </c>
    </row>
    <row r="145" customFormat="false" ht="15" hidden="false" customHeight="false" outlineLevel="0" collapsed="false">
      <c r="F145" s="7" t="str">
        <f aca="false">IF(AND(D145&lt;&gt;"",E145&lt;&gt;""),D145*E145,"")</f>
        <v/>
      </c>
    </row>
    <row r="146" customFormat="false" ht="15" hidden="false" customHeight="false" outlineLevel="0" collapsed="false">
      <c r="F146" s="12" t="str">
        <f aca="false">IF(AND(D146&lt;&gt;"",E146&lt;&gt;""),D146*E146,"")</f>
        <v/>
      </c>
    </row>
    <row r="147" customFormat="false" ht="15" hidden="false" customHeight="false" outlineLevel="0" collapsed="false">
      <c r="F147" s="7" t="str">
        <f aca="false">IF(AND(D147&lt;&gt;"",E147&lt;&gt;""),D147*E147,"")</f>
        <v/>
      </c>
    </row>
    <row r="148" customFormat="false" ht="15" hidden="false" customHeight="false" outlineLevel="0" collapsed="false">
      <c r="F148" s="12" t="str">
        <f aca="false">IF(AND(D148&lt;&gt;"",E148&lt;&gt;""),D148*E148,"")</f>
        <v/>
      </c>
    </row>
    <row r="149" customFormat="false" ht="15" hidden="false" customHeight="false" outlineLevel="0" collapsed="false">
      <c r="F149" s="7" t="str">
        <f aca="false">IF(AND(D149&lt;&gt;"",E149&lt;&gt;""),D149*E149,"")</f>
        <v/>
      </c>
    </row>
    <row r="150" customFormat="false" ht="15" hidden="false" customHeight="false" outlineLevel="0" collapsed="false">
      <c r="F150" s="12" t="str">
        <f aca="false">IF(AND(D150&lt;&gt;"",E150&lt;&gt;""),D150*E150,"")</f>
        <v/>
      </c>
    </row>
    <row r="151" customFormat="false" ht="15" hidden="false" customHeight="false" outlineLevel="0" collapsed="false">
      <c r="F151" s="7" t="str">
        <f aca="false">IF(AND(D151&lt;&gt;"",E151&lt;&gt;""),D151*E151,"")</f>
        <v/>
      </c>
    </row>
    <row r="152" customFormat="false" ht="15" hidden="false" customHeight="false" outlineLevel="0" collapsed="false">
      <c r="F152" s="12" t="str">
        <f aca="false">IF(AND(D152&lt;&gt;"",E152&lt;&gt;""),D152*E152,"")</f>
        <v/>
      </c>
    </row>
    <row r="153" customFormat="false" ht="15" hidden="false" customHeight="false" outlineLevel="0" collapsed="false">
      <c r="F153" s="7" t="str">
        <f aca="false">IF(AND(D153&lt;&gt;"",E153&lt;&gt;""),D153*E153,"")</f>
        <v/>
      </c>
    </row>
    <row r="154" customFormat="false" ht="15" hidden="false" customHeight="false" outlineLevel="0" collapsed="false">
      <c r="F154" s="12" t="str">
        <f aca="false">IF(AND(D154&lt;&gt;"",E154&lt;&gt;""),D154*E154,"")</f>
        <v/>
      </c>
    </row>
    <row r="155" customFormat="false" ht="15" hidden="false" customHeight="false" outlineLevel="0" collapsed="false">
      <c r="F155" s="7" t="str">
        <f aca="false">IF(AND(D155&lt;&gt;"",E155&lt;&gt;""),D155*E155,"")</f>
        <v/>
      </c>
    </row>
    <row r="156" customFormat="false" ht="15" hidden="false" customHeight="false" outlineLevel="0" collapsed="false">
      <c r="F156" s="12" t="str">
        <f aca="false">IF(AND(D156&lt;&gt;"",E156&lt;&gt;""),D156*E156,"")</f>
        <v/>
      </c>
    </row>
    <row r="157" customFormat="false" ht="15" hidden="false" customHeight="false" outlineLevel="0" collapsed="false">
      <c r="F157" s="7" t="str">
        <f aca="false">IF(AND(D157&lt;&gt;"",E157&lt;&gt;""),D157*E157,"")</f>
        <v/>
      </c>
    </row>
    <row r="158" customFormat="false" ht="15" hidden="false" customHeight="false" outlineLevel="0" collapsed="false">
      <c r="F158" s="12" t="str">
        <f aca="false">IF(AND(D158&lt;&gt;"",E158&lt;&gt;""),D158*E158,"")</f>
        <v/>
      </c>
    </row>
    <row r="159" customFormat="false" ht="15" hidden="false" customHeight="false" outlineLevel="0" collapsed="false">
      <c r="F159" s="7" t="str">
        <f aca="false">IF(AND(D159&lt;&gt;"",E159&lt;&gt;""),D159*E159,"")</f>
        <v/>
      </c>
    </row>
    <row r="160" customFormat="false" ht="15" hidden="false" customHeight="false" outlineLevel="0" collapsed="false">
      <c r="F160" s="12" t="str">
        <f aca="false">IF(AND(D160&lt;&gt;"",E160&lt;&gt;""),D160*E160,"")</f>
        <v/>
      </c>
    </row>
    <row r="161" customFormat="false" ht="15" hidden="false" customHeight="false" outlineLevel="0" collapsed="false">
      <c r="F161" s="7" t="str">
        <f aca="false">IF(AND(D161&lt;&gt;"",E161&lt;&gt;""),D161*E161,"")</f>
        <v/>
      </c>
    </row>
    <row r="162" customFormat="false" ht="15" hidden="false" customHeight="false" outlineLevel="0" collapsed="false">
      <c r="F162" s="12" t="str">
        <f aca="false">IF(AND(D162&lt;&gt;"",E162&lt;&gt;""),D162*E162,"")</f>
        <v/>
      </c>
    </row>
    <row r="163" customFormat="false" ht="15" hidden="false" customHeight="false" outlineLevel="0" collapsed="false">
      <c r="F163" s="7" t="str">
        <f aca="false">IF(AND(D163&lt;&gt;"",E163&lt;&gt;""),D163*E163,"")</f>
        <v/>
      </c>
    </row>
    <row r="164" customFormat="false" ht="15" hidden="false" customHeight="false" outlineLevel="0" collapsed="false">
      <c r="F164" s="12" t="str">
        <f aca="false">IF(AND(D164&lt;&gt;"",E164&lt;&gt;""),D164*E164,"")</f>
        <v/>
      </c>
    </row>
    <row r="165" customFormat="false" ht="15" hidden="false" customHeight="false" outlineLevel="0" collapsed="false">
      <c r="F165" s="7" t="str">
        <f aca="false">IF(AND(D165&lt;&gt;"",E165&lt;&gt;""),D165*E165,"")</f>
        <v/>
      </c>
    </row>
    <row r="166" customFormat="false" ht="15" hidden="false" customHeight="false" outlineLevel="0" collapsed="false">
      <c r="F166" s="12" t="str">
        <f aca="false">IF(AND(D166&lt;&gt;"",E166&lt;&gt;""),D166*E166,"")</f>
        <v/>
      </c>
    </row>
    <row r="167" customFormat="false" ht="15" hidden="false" customHeight="false" outlineLevel="0" collapsed="false">
      <c r="F167" s="7" t="str">
        <f aca="false">IF(AND(D167&lt;&gt;"",E167&lt;&gt;""),D167*E167,"")</f>
        <v/>
      </c>
    </row>
    <row r="168" customFormat="false" ht="15" hidden="false" customHeight="false" outlineLevel="0" collapsed="false">
      <c r="F168" s="12" t="str">
        <f aca="false">IF(AND(D168&lt;&gt;"",E168&lt;&gt;""),D168*E168,"")</f>
        <v/>
      </c>
    </row>
    <row r="169" customFormat="false" ht="15" hidden="false" customHeight="false" outlineLevel="0" collapsed="false">
      <c r="F169" s="7" t="str">
        <f aca="false">IF(AND(D169&lt;&gt;"",E169&lt;&gt;""),D169*E169,"")</f>
        <v/>
      </c>
    </row>
    <row r="170" customFormat="false" ht="15" hidden="false" customHeight="false" outlineLevel="0" collapsed="false">
      <c r="F170" s="12" t="str">
        <f aca="false">IF(AND(D170&lt;&gt;"",E170&lt;&gt;""),D170*E170,"")</f>
        <v/>
      </c>
    </row>
    <row r="171" customFormat="false" ht="15" hidden="false" customHeight="false" outlineLevel="0" collapsed="false">
      <c r="F171" s="7" t="str">
        <f aca="false">IF(AND(D171&lt;&gt;"",E171&lt;&gt;""),D171*E171,"")</f>
        <v/>
      </c>
    </row>
    <row r="172" customFormat="false" ht="15" hidden="false" customHeight="false" outlineLevel="0" collapsed="false">
      <c r="F172" s="12" t="str">
        <f aca="false">IF(AND(D172&lt;&gt;"",E172&lt;&gt;""),D172*E172,"")</f>
        <v/>
      </c>
    </row>
    <row r="173" customFormat="false" ht="15" hidden="false" customHeight="false" outlineLevel="0" collapsed="false">
      <c r="F173" s="7" t="str">
        <f aca="false">IF(AND(D173&lt;&gt;"",E173&lt;&gt;""),D173*E173,"")</f>
        <v/>
      </c>
    </row>
    <row r="174" customFormat="false" ht="15" hidden="false" customHeight="false" outlineLevel="0" collapsed="false">
      <c r="F174" s="12" t="str">
        <f aca="false">IF(AND(D174&lt;&gt;"",E174&lt;&gt;""),D174*E174,"")</f>
        <v/>
      </c>
    </row>
    <row r="175" customFormat="false" ht="15" hidden="false" customHeight="false" outlineLevel="0" collapsed="false">
      <c r="F175" s="7" t="str">
        <f aca="false">IF(AND(D175&lt;&gt;"",E175&lt;&gt;""),D175*E175,"")</f>
        <v/>
      </c>
    </row>
    <row r="176" customFormat="false" ht="15" hidden="false" customHeight="false" outlineLevel="0" collapsed="false">
      <c r="F176" s="12" t="str">
        <f aca="false">IF(AND(D176&lt;&gt;"",E176&lt;&gt;""),D176*E176,"")</f>
        <v/>
      </c>
    </row>
    <row r="177" customFormat="false" ht="15" hidden="false" customHeight="false" outlineLevel="0" collapsed="false">
      <c r="F177" s="7" t="str">
        <f aca="false">IF(AND(D177&lt;&gt;"",E177&lt;&gt;""),D177*E177,"")</f>
        <v/>
      </c>
    </row>
    <row r="178" customFormat="false" ht="15" hidden="false" customHeight="false" outlineLevel="0" collapsed="false">
      <c r="F178" s="12" t="str">
        <f aca="false">IF(AND(D178&lt;&gt;"",E178&lt;&gt;""),D178*E178,"")</f>
        <v/>
      </c>
    </row>
    <row r="179" customFormat="false" ht="15" hidden="false" customHeight="false" outlineLevel="0" collapsed="false">
      <c r="F179" s="7" t="str">
        <f aca="false">IF(AND(D179&lt;&gt;"",E179&lt;&gt;""),D179*E179,"")</f>
        <v/>
      </c>
    </row>
    <row r="180" customFormat="false" ht="15" hidden="false" customHeight="false" outlineLevel="0" collapsed="false">
      <c r="F180" s="12" t="str">
        <f aca="false">IF(AND(D180&lt;&gt;"",E180&lt;&gt;""),D180*E180,"")</f>
        <v/>
      </c>
    </row>
    <row r="181" customFormat="false" ht="15" hidden="false" customHeight="false" outlineLevel="0" collapsed="false">
      <c r="F181" s="7" t="str">
        <f aca="false">IF(AND(D181&lt;&gt;"",E181&lt;&gt;""),D181*E181,"")</f>
        <v/>
      </c>
    </row>
    <row r="182" customFormat="false" ht="15" hidden="false" customHeight="false" outlineLevel="0" collapsed="false">
      <c r="F182" s="12" t="str">
        <f aca="false">IF(AND(D182&lt;&gt;"",E182&lt;&gt;""),D182*E182,"")</f>
        <v/>
      </c>
    </row>
    <row r="183" customFormat="false" ht="15" hidden="false" customHeight="false" outlineLevel="0" collapsed="false">
      <c r="F183" s="7" t="str">
        <f aca="false">IF(AND(D183&lt;&gt;"",E183&lt;&gt;""),D183*E183,"")</f>
        <v/>
      </c>
    </row>
    <row r="184" customFormat="false" ht="15" hidden="false" customHeight="false" outlineLevel="0" collapsed="false">
      <c r="F184" s="12" t="str">
        <f aca="false">IF(AND(D184&lt;&gt;"",E184&lt;&gt;""),D184*E184,"")</f>
        <v/>
      </c>
    </row>
    <row r="185" customFormat="false" ht="15" hidden="false" customHeight="false" outlineLevel="0" collapsed="false">
      <c r="F185" s="7" t="str">
        <f aca="false">IF(AND(D185&lt;&gt;"",E185&lt;&gt;""),D185*E185,"")</f>
        <v/>
      </c>
    </row>
    <row r="186" customFormat="false" ht="15" hidden="false" customHeight="false" outlineLevel="0" collapsed="false">
      <c r="F186" s="12" t="str">
        <f aca="false">IF(AND(D186&lt;&gt;"",E186&lt;&gt;""),D186*E186,"")</f>
        <v/>
      </c>
    </row>
    <row r="187" customFormat="false" ht="15" hidden="false" customHeight="false" outlineLevel="0" collapsed="false">
      <c r="F187" s="7" t="str">
        <f aca="false">IF(AND(D187&lt;&gt;"",E187&lt;&gt;""),D187*E187,"")</f>
        <v/>
      </c>
    </row>
    <row r="188" customFormat="false" ht="15" hidden="false" customHeight="false" outlineLevel="0" collapsed="false">
      <c r="F188" s="12" t="str">
        <f aca="false">IF(AND(D188&lt;&gt;"",E188&lt;&gt;""),D188*E188,"")</f>
        <v/>
      </c>
    </row>
    <row r="189" customFormat="false" ht="15" hidden="false" customHeight="false" outlineLevel="0" collapsed="false">
      <c r="F189" s="7" t="str">
        <f aca="false">IF(AND(D189&lt;&gt;"",E189&lt;&gt;""),D189*E189,"")</f>
        <v/>
      </c>
    </row>
    <row r="190" customFormat="false" ht="15" hidden="false" customHeight="false" outlineLevel="0" collapsed="false">
      <c r="F190" s="12" t="str">
        <f aca="false">IF(AND(D190&lt;&gt;"",E190&lt;&gt;""),D190*E190,"")</f>
        <v/>
      </c>
    </row>
    <row r="191" customFormat="false" ht="15" hidden="false" customHeight="false" outlineLevel="0" collapsed="false">
      <c r="F191" s="7" t="str">
        <f aca="false">IF(AND(D191&lt;&gt;"",E191&lt;&gt;""),D191*E191,"")</f>
        <v/>
      </c>
    </row>
    <row r="192" customFormat="false" ht="15" hidden="false" customHeight="false" outlineLevel="0" collapsed="false">
      <c r="F192" s="12" t="str">
        <f aca="false">IF(AND(D192&lt;&gt;"",E192&lt;&gt;""),D192*E192,"")</f>
        <v/>
      </c>
    </row>
    <row r="193" customFormat="false" ht="15" hidden="false" customHeight="false" outlineLevel="0" collapsed="false">
      <c r="F193" s="7" t="str">
        <f aca="false">IF(AND(D193&lt;&gt;"",E193&lt;&gt;""),D193*E193,"")</f>
        <v/>
      </c>
    </row>
    <row r="194" customFormat="false" ht="15" hidden="false" customHeight="false" outlineLevel="0" collapsed="false">
      <c r="F194" s="12" t="str">
        <f aca="false">IF(AND(D194&lt;&gt;"",E194&lt;&gt;""),D194*E194,"")</f>
        <v/>
      </c>
    </row>
    <row r="195" customFormat="false" ht="15" hidden="false" customHeight="false" outlineLevel="0" collapsed="false">
      <c r="F195" s="7" t="str">
        <f aca="false">IF(AND(D195&lt;&gt;"",E195&lt;&gt;""),D195*E195,"")</f>
        <v/>
      </c>
    </row>
    <row r="196" customFormat="false" ht="15" hidden="false" customHeight="false" outlineLevel="0" collapsed="false">
      <c r="F196" s="12" t="str">
        <f aca="false">IF(AND(D196&lt;&gt;"",E196&lt;&gt;""),D196*E196,"")</f>
        <v/>
      </c>
    </row>
    <row r="197" customFormat="false" ht="15" hidden="false" customHeight="false" outlineLevel="0" collapsed="false">
      <c r="F197" s="7" t="str">
        <f aca="false">IF(AND(D197&lt;&gt;"",E197&lt;&gt;""),D197*E197,"")</f>
        <v/>
      </c>
    </row>
    <row r="198" customFormat="false" ht="15" hidden="false" customHeight="false" outlineLevel="0" collapsed="false">
      <c r="F198" s="12" t="str">
        <f aca="false">IF(AND(D198&lt;&gt;"",E198&lt;&gt;""),D198*E198,"")</f>
        <v/>
      </c>
    </row>
    <row r="199" customFormat="false" ht="15" hidden="false" customHeight="false" outlineLevel="0" collapsed="false">
      <c r="F199" s="7" t="str">
        <f aca="false">IF(AND(D199&lt;&gt;"",E199&lt;&gt;""),D199*E199,"")</f>
        <v/>
      </c>
    </row>
    <row r="200" customFormat="false" ht="15" hidden="false" customHeight="false" outlineLevel="0" collapsed="false">
      <c r="F200" s="12" t="str">
        <f aca="false">IF(AND(D200&lt;&gt;"",E200&lt;&gt;""),D200*E200,"")</f>
        <v/>
      </c>
    </row>
    <row r="201" customFormat="false" ht="15" hidden="false" customHeight="false" outlineLevel="0" collapsed="false">
      <c r="F201" s="7" t="str">
        <f aca="false">IF(AND(D201&lt;&gt;"",E201&lt;&gt;""),D201*E201,"")</f>
        <v/>
      </c>
    </row>
    <row r="202" customFormat="false" ht="15" hidden="false" customHeight="false" outlineLevel="0" collapsed="false">
      <c r="F202" s="12" t="str">
        <f aca="false">IF(AND(D202&lt;&gt;"",E202&lt;&gt;""),D202*E202,"")</f>
        <v/>
      </c>
    </row>
    <row r="203" customFormat="false" ht="15" hidden="false" customHeight="false" outlineLevel="0" collapsed="false">
      <c r="F203" s="7" t="str">
        <f aca="false">IF(AND(D203&lt;&gt;"",E203&lt;&gt;""),D203*E203,"")</f>
        <v/>
      </c>
    </row>
    <row r="204" customFormat="false" ht="15" hidden="false" customHeight="false" outlineLevel="0" collapsed="false">
      <c r="F204" s="12" t="str">
        <f aca="false">IF(AND(D204&lt;&gt;"",E204&lt;&gt;""),D204*E204,"")</f>
        <v/>
      </c>
    </row>
    <row r="205" customFormat="false" ht="15" hidden="false" customHeight="false" outlineLevel="0" collapsed="false">
      <c r="F205" s="7" t="str">
        <f aca="false">IF(AND(D205&lt;&gt;"",E205&lt;&gt;""),D205*E205,"")</f>
        <v/>
      </c>
    </row>
    <row r="206" customFormat="false" ht="15" hidden="false" customHeight="false" outlineLevel="0" collapsed="false">
      <c r="F206" s="12" t="str">
        <f aca="false">IF(AND(D206&lt;&gt;"",E206&lt;&gt;""),D206*E206,"")</f>
        <v/>
      </c>
    </row>
    <row r="207" customFormat="false" ht="15" hidden="false" customHeight="false" outlineLevel="0" collapsed="false">
      <c r="F207" s="7" t="str">
        <f aca="false">IF(AND(D207&lt;&gt;"",E207&lt;&gt;""),D207*E207,"")</f>
        <v/>
      </c>
    </row>
    <row r="208" customFormat="false" ht="15" hidden="false" customHeight="false" outlineLevel="0" collapsed="false">
      <c r="F208" s="12" t="str">
        <f aca="false">IF(AND(D208&lt;&gt;"",E208&lt;&gt;""),D208*E208,"")</f>
        <v/>
      </c>
    </row>
    <row r="209" customFormat="false" ht="15" hidden="false" customHeight="false" outlineLevel="0" collapsed="false">
      <c r="F209" s="7" t="str">
        <f aca="false">IF(AND(D209&lt;&gt;"",E209&lt;&gt;""),D209*E209,"")</f>
        <v/>
      </c>
    </row>
    <row r="210" customFormat="false" ht="15" hidden="false" customHeight="false" outlineLevel="0" collapsed="false">
      <c r="F210" s="12" t="str">
        <f aca="false">IF(AND(D210&lt;&gt;"",E210&lt;&gt;""),D210*E210,"")</f>
        <v/>
      </c>
    </row>
    <row r="211" customFormat="false" ht="15" hidden="false" customHeight="false" outlineLevel="0" collapsed="false">
      <c r="F211" s="7" t="str">
        <f aca="false">IF(AND(D211&lt;&gt;"",E211&lt;&gt;""),D211*E211,"")</f>
        <v/>
      </c>
    </row>
    <row r="212" customFormat="false" ht="15" hidden="false" customHeight="false" outlineLevel="0" collapsed="false">
      <c r="F212" s="12" t="str">
        <f aca="false">IF(AND(D212&lt;&gt;"",E212&lt;&gt;""),D212*E212,"")</f>
        <v/>
      </c>
    </row>
    <row r="213" customFormat="false" ht="15" hidden="false" customHeight="false" outlineLevel="0" collapsed="false">
      <c r="F213" s="7" t="str">
        <f aca="false">IF(AND(D213&lt;&gt;"",E213&lt;&gt;""),D213*E213,"")</f>
        <v/>
      </c>
    </row>
    <row r="214" customFormat="false" ht="15" hidden="false" customHeight="false" outlineLevel="0" collapsed="false">
      <c r="F214" s="12" t="str">
        <f aca="false">IF(AND(D214&lt;&gt;"",E214&lt;&gt;""),D214*E214,"")</f>
        <v/>
      </c>
    </row>
    <row r="215" customFormat="false" ht="15" hidden="false" customHeight="false" outlineLevel="0" collapsed="false">
      <c r="F215" s="7" t="str">
        <f aca="false">IF(AND(D215&lt;&gt;"",E215&lt;&gt;""),D215*E215,"")</f>
        <v/>
      </c>
    </row>
    <row r="216" customFormat="false" ht="15" hidden="false" customHeight="false" outlineLevel="0" collapsed="false">
      <c r="F216" s="12" t="str">
        <f aca="false">IF(AND(D216&lt;&gt;"",E216&lt;&gt;""),D216*E216,"")</f>
        <v/>
      </c>
    </row>
    <row r="217" customFormat="false" ht="15" hidden="false" customHeight="false" outlineLevel="0" collapsed="false">
      <c r="F217" s="7" t="str">
        <f aca="false">IF(AND(D217&lt;&gt;"",E217&lt;&gt;""),D217*E217,"")</f>
        <v/>
      </c>
    </row>
    <row r="218" customFormat="false" ht="15" hidden="false" customHeight="false" outlineLevel="0" collapsed="false">
      <c r="F218" s="12" t="str">
        <f aca="false">IF(AND(D218&lt;&gt;"",E218&lt;&gt;""),D218*E218,"")</f>
        <v/>
      </c>
    </row>
    <row r="219" customFormat="false" ht="15" hidden="false" customHeight="false" outlineLevel="0" collapsed="false">
      <c r="F219" s="7" t="str">
        <f aca="false">IF(AND(D219&lt;&gt;"",E219&lt;&gt;""),D219*E219,"")</f>
        <v/>
      </c>
    </row>
    <row r="220" customFormat="false" ht="15" hidden="false" customHeight="false" outlineLevel="0" collapsed="false">
      <c r="F220" s="12" t="str">
        <f aca="false">IF(AND(D220&lt;&gt;"",E220&lt;&gt;""),D220*E220,"")</f>
        <v/>
      </c>
    </row>
    <row r="221" customFormat="false" ht="15" hidden="false" customHeight="false" outlineLevel="0" collapsed="false">
      <c r="F221" s="7" t="str">
        <f aca="false">IF(AND(D221&lt;&gt;"",E221&lt;&gt;""),D221*E221,"")</f>
        <v/>
      </c>
    </row>
    <row r="222" customFormat="false" ht="15" hidden="false" customHeight="false" outlineLevel="0" collapsed="false">
      <c r="F222" s="12" t="str">
        <f aca="false">IF(AND(D222&lt;&gt;"",E222&lt;&gt;""),D222*E222,"")</f>
        <v/>
      </c>
    </row>
    <row r="223" customFormat="false" ht="15" hidden="false" customHeight="false" outlineLevel="0" collapsed="false">
      <c r="F223" s="7" t="str">
        <f aca="false">IF(AND(D223&lt;&gt;"",E223&lt;&gt;""),D223*E223,"")</f>
        <v/>
      </c>
    </row>
    <row r="224" customFormat="false" ht="15" hidden="false" customHeight="false" outlineLevel="0" collapsed="false">
      <c r="F224" s="12" t="str">
        <f aca="false">IF(AND(D224&lt;&gt;"",E224&lt;&gt;""),D224*E224,"")</f>
        <v/>
      </c>
    </row>
    <row r="225" customFormat="false" ht="15" hidden="false" customHeight="false" outlineLevel="0" collapsed="false">
      <c r="F225" s="7" t="str">
        <f aca="false">IF(AND(D225&lt;&gt;"",E225&lt;&gt;""),D225*E225,"")</f>
        <v/>
      </c>
    </row>
    <row r="226" customFormat="false" ht="15" hidden="false" customHeight="false" outlineLevel="0" collapsed="false">
      <c r="F226" s="12" t="str">
        <f aca="false">IF(AND(D226&lt;&gt;"",E226&lt;&gt;""),D226*E226,"")</f>
        <v/>
      </c>
    </row>
    <row r="227" customFormat="false" ht="15" hidden="false" customHeight="false" outlineLevel="0" collapsed="false">
      <c r="F227" s="7" t="str">
        <f aca="false">IF(AND(D227&lt;&gt;"",E227&lt;&gt;""),D227*E227,"")</f>
        <v/>
      </c>
    </row>
    <row r="228" customFormat="false" ht="15" hidden="false" customHeight="false" outlineLevel="0" collapsed="false">
      <c r="F228" s="12" t="str">
        <f aca="false">IF(AND(D228&lt;&gt;"",E228&lt;&gt;""),D228*E228,"")</f>
        <v/>
      </c>
    </row>
    <row r="229" customFormat="false" ht="15" hidden="false" customHeight="false" outlineLevel="0" collapsed="false">
      <c r="F229" s="7" t="str">
        <f aca="false">IF(AND(D229&lt;&gt;"",E229&lt;&gt;""),D229*E229,"")</f>
        <v/>
      </c>
    </row>
    <row r="230" customFormat="false" ht="15" hidden="false" customHeight="false" outlineLevel="0" collapsed="false">
      <c r="F230" s="12" t="str">
        <f aca="false">IF(AND(D230&lt;&gt;"",E230&lt;&gt;""),D230*E230,"")</f>
        <v/>
      </c>
    </row>
    <row r="231" customFormat="false" ht="15" hidden="false" customHeight="false" outlineLevel="0" collapsed="false">
      <c r="F231" s="7" t="str">
        <f aca="false">IF(AND(D231&lt;&gt;"",E231&lt;&gt;""),D231*E231,"")</f>
        <v/>
      </c>
    </row>
    <row r="232" customFormat="false" ht="15" hidden="false" customHeight="false" outlineLevel="0" collapsed="false">
      <c r="F232" s="12" t="str">
        <f aca="false">IF(AND(D232&lt;&gt;"",E232&lt;&gt;""),D232*E232,"")</f>
        <v/>
      </c>
    </row>
    <row r="233" customFormat="false" ht="15" hidden="false" customHeight="false" outlineLevel="0" collapsed="false">
      <c r="F233" s="7" t="str">
        <f aca="false">IF(AND(D233&lt;&gt;"",E233&lt;&gt;""),D233*E233,"")</f>
        <v/>
      </c>
    </row>
    <row r="234" customFormat="false" ht="15" hidden="false" customHeight="false" outlineLevel="0" collapsed="false">
      <c r="F234" s="12" t="str">
        <f aca="false">IF(AND(D234&lt;&gt;"",E234&lt;&gt;""),D234*E234,"")</f>
        <v/>
      </c>
    </row>
    <row r="235" customFormat="false" ht="15" hidden="false" customHeight="false" outlineLevel="0" collapsed="false">
      <c r="F235" s="7" t="str">
        <f aca="false">IF(AND(D235&lt;&gt;"",E235&lt;&gt;""),D235*E235,"")</f>
        <v/>
      </c>
    </row>
    <row r="236" customFormat="false" ht="15" hidden="false" customHeight="false" outlineLevel="0" collapsed="false">
      <c r="F236" s="12" t="str">
        <f aca="false">IF(AND(D236&lt;&gt;"",E236&lt;&gt;""),D236*E236,"")</f>
        <v/>
      </c>
    </row>
    <row r="237" customFormat="false" ht="15" hidden="false" customHeight="false" outlineLevel="0" collapsed="false">
      <c r="F237" s="7" t="str">
        <f aca="false">IF(AND(D237&lt;&gt;"",E237&lt;&gt;""),D237*E237,"")</f>
        <v/>
      </c>
    </row>
    <row r="238" customFormat="false" ht="15" hidden="false" customHeight="false" outlineLevel="0" collapsed="false">
      <c r="F238" s="12" t="str">
        <f aca="false">IF(AND(D238&lt;&gt;"",E238&lt;&gt;""),D238*E238,"")</f>
        <v/>
      </c>
    </row>
    <row r="239" customFormat="false" ht="15" hidden="false" customHeight="false" outlineLevel="0" collapsed="false">
      <c r="F239" s="7" t="str">
        <f aca="false">IF(AND(D239&lt;&gt;"",E239&lt;&gt;""),D239*E239,"")</f>
        <v/>
      </c>
    </row>
    <row r="240" customFormat="false" ht="15" hidden="false" customHeight="false" outlineLevel="0" collapsed="false">
      <c r="F240" s="12" t="str">
        <f aca="false">IF(AND(D240&lt;&gt;"",E240&lt;&gt;""),D240*E240,"")</f>
        <v/>
      </c>
    </row>
    <row r="241" customFormat="false" ht="15" hidden="false" customHeight="false" outlineLevel="0" collapsed="false">
      <c r="F241" s="7" t="str">
        <f aca="false">IF(AND(D241&lt;&gt;"",E241&lt;&gt;""),D241*E241,"")</f>
        <v/>
      </c>
    </row>
    <row r="242" customFormat="false" ht="15" hidden="false" customHeight="false" outlineLevel="0" collapsed="false">
      <c r="F242" s="12" t="str">
        <f aca="false">IF(AND(D242&lt;&gt;"",E242&lt;&gt;""),D242*E242,"")</f>
        <v/>
      </c>
    </row>
    <row r="243" customFormat="false" ht="15" hidden="false" customHeight="false" outlineLevel="0" collapsed="false">
      <c r="F243" s="7" t="str">
        <f aca="false">IF(AND(D243&lt;&gt;"",E243&lt;&gt;""),D243*E243,"")</f>
        <v/>
      </c>
    </row>
    <row r="244" customFormat="false" ht="15" hidden="false" customHeight="false" outlineLevel="0" collapsed="false">
      <c r="F244" s="12" t="str">
        <f aca="false">IF(AND(D244&lt;&gt;"",E244&lt;&gt;""),D244*E244,"")</f>
        <v/>
      </c>
    </row>
    <row r="245" customFormat="false" ht="15" hidden="false" customHeight="false" outlineLevel="0" collapsed="false">
      <c r="F245" s="7" t="str">
        <f aca="false">IF(AND(D245&lt;&gt;"",E245&lt;&gt;""),D245*E245,"")</f>
        <v/>
      </c>
    </row>
    <row r="246" customFormat="false" ht="15" hidden="false" customHeight="false" outlineLevel="0" collapsed="false">
      <c r="F246" s="12" t="str">
        <f aca="false">IF(AND(D246&lt;&gt;"",E246&lt;&gt;""),D246*E246,"")</f>
        <v/>
      </c>
    </row>
    <row r="247" customFormat="false" ht="15" hidden="false" customHeight="false" outlineLevel="0" collapsed="false">
      <c r="F247" s="7" t="str">
        <f aca="false">IF(AND(D247&lt;&gt;"",E247&lt;&gt;""),D247*E247,"")</f>
        <v/>
      </c>
    </row>
    <row r="248" customFormat="false" ht="15" hidden="false" customHeight="false" outlineLevel="0" collapsed="false">
      <c r="F248" s="12" t="str">
        <f aca="false">IF(AND(D248&lt;&gt;"",E248&lt;&gt;""),D248*E248,"")</f>
        <v/>
      </c>
    </row>
    <row r="249" customFormat="false" ht="15" hidden="false" customHeight="false" outlineLevel="0" collapsed="false">
      <c r="F249" s="7" t="str">
        <f aca="false">IF(AND(D249&lt;&gt;"",E249&lt;&gt;""),D249*E249,"")</f>
        <v/>
      </c>
    </row>
    <row r="250" customFormat="false" ht="15" hidden="false" customHeight="false" outlineLevel="0" collapsed="false">
      <c r="F250" s="12" t="str">
        <f aca="false">IF(AND(D250&lt;&gt;"",E250&lt;&gt;""),D250*E250,"")</f>
        <v/>
      </c>
    </row>
    <row r="251" customFormat="false" ht="15" hidden="false" customHeight="false" outlineLevel="0" collapsed="false">
      <c r="F251" s="7" t="str">
        <f aca="false">IF(AND(D251&lt;&gt;"",E251&lt;&gt;""),D251*E251,"")</f>
        <v/>
      </c>
    </row>
    <row r="252" customFormat="false" ht="15" hidden="false" customHeight="false" outlineLevel="0" collapsed="false">
      <c r="F252" s="12" t="str">
        <f aca="false">IF(AND(D252&lt;&gt;"",E252&lt;&gt;""),D252*E252,"")</f>
        <v/>
      </c>
    </row>
    <row r="253" customFormat="false" ht="15" hidden="false" customHeight="false" outlineLevel="0" collapsed="false">
      <c r="F253" s="7" t="str">
        <f aca="false">IF(AND(D253&lt;&gt;"",E253&lt;&gt;""),D253*E253,"")</f>
        <v/>
      </c>
    </row>
    <row r="254" customFormat="false" ht="15" hidden="false" customHeight="false" outlineLevel="0" collapsed="false">
      <c r="F254" s="12" t="str">
        <f aca="false">IF(AND(D254&lt;&gt;"",E254&lt;&gt;""),D254*E254,"")</f>
        <v/>
      </c>
    </row>
    <row r="255" customFormat="false" ht="15" hidden="false" customHeight="false" outlineLevel="0" collapsed="false">
      <c r="F255" s="7" t="str">
        <f aca="false">IF(AND(D255&lt;&gt;"",E255&lt;&gt;""),D255*E255,"")</f>
        <v/>
      </c>
    </row>
    <row r="256" customFormat="false" ht="15" hidden="false" customHeight="false" outlineLevel="0" collapsed="false">
      <c r="F256" s="12" t="str">
        <f aca="false">IF(AND(D256&lt;&gt;"",E256&lt;&gt;""),D256*E256,"")</f>
        <v/>
      </c>
    </row>
    <row r="257" customFormat="false" ht="15" hidden="false" customHeight="false" outlineLevel="0" collapsed="false">
      <c r="F257" s="7" t="str">
        <f aca="false">IF(AND(D257&lt;&gt;"",E257&lt;&gt;""),D257*E257,"")</f>
        <v/>
      </c>
    </row>
    <row r="258" customFormat="false" ht="15" hidden="false" customHeight="false" outlineLevel="0" collapsed="false">
      <c r="F258" s="12" t="str">
        <f aca="false">IF(AND(D258&lt;&gt;"",E258&lt;&gt;""),D258*E258,"")</f>
        <v/>
      </c>
    </row>
    <row r="259" customFormat="false" ht="15" hidden="false" customHeight="false" outlineLevel="0" collapsed="false">
      <c r="F259" s="7" t="str">
        <f aca="false">IF(AND(D259&lt;&gt;"",E259&lt;&gt;""),D259*E259,"")</f>
        <v/>
      </c>
    </row>
    <row r="260" customFormat="false" ht="15" hidden="false" customHeight="false" outlineLevel="0" collapsed="false">
      <c r="F260" s="12" t="str">
        <f aca="false">IF(AND(D260&lt;&gt;"",E260&lt;&gt;""),D260*E260,"")</f>
        <v/>
      </c>
    </row>
    <row r="261" customFormat="false" ht="15" hidden="false" customHeight="false" outlineLevel="0" collapsed="false">
      <c r="F261" s="7" t="str">
        <f aca="false">IF(AND(D261&lt;&gt;"",E261&lt;&gt;""),D261*E261,"")</f>
        <v/>
      </c>
    </row>
    <row r="262" customFormat="false" ht="15" hidden="false" customHeight="false" outlineLevel="0" collapsed="false">
      <c r="F262" s="12" t="str">
        <f aca="false">IF(AND(D262&lt;&gt;"",E262&lt;&gt;""),D262*E262,"")</f>
        <v/>
      </c>
    </row>
    <row r="263" customFormat="false" ht="15" hidden="false" customHeight="false" outlineLevel="0" collapsed="false">
      <c r="F263" s="7" t="str">
        <f aca="false">IF(AND(D263&lt;&gt;"",E263&lt;&gt;""),D263*E263,"")</f>
        <v/>
      </c>
    </row>
    <row r="264" customFormat="false" ht="15" hidden="false" customHeight="false" outlineLevel="0" collapsed="false">
      <c r="F264" s="12" t="str">
        <f aca="false">IF(AND(D264&lt;&gt;"",E264&lt;&gt;""),D264*E264,"")</f>
        <v/>
      </c>
    </row>
    <row r="265" customFormat="false" ht="15" hidden="false" customHeight="false" outlineLevel="0" collapsed="false">
      <c r="F265" s="7" t="str">
        <f aca="false">IF(AND(D265&lt;&gt;"",E265&lt;&gt;""),D265*E265,"")</f>
        <v/>
      </c>
    </row>
    <row r="266" customFormat="false" ht="15" hidden="false" customHeight="false" outlineLevel="0" collapsed="false">
      <c r="F266" s="12" t="str">
        <f aca="false">IF(AND(D266&lt;&gt;"",E266&lt;&gt;""),D266*E266,"")</f>
        <v/>
      </c>
    </row>
    <row r="267" customFormat="false" ht="15" hidden="false" customHeight="false" outlineLevel="0" collapsed="false">
      <c r="F267" s="7" t="str">
        <f aca="false">IF(AND(D267&lt;&gt;"",E267&lt;&gt;""),D267*E267,"")</f>
        <v/>
      </c>
    </row>
    <row r="268" customFormat="false" ht="15" hidden="false" customHeight="false" outlineLevel="0" collapsed="false">
      <c r="F268" s="12" t="str">
        <f aca="false">IF(AND(D268&lt;&gt;"",E268&lt;&gt;""),D268*E268,"")</f>
        <v/>
      </c>
    </row>
    <row r="269" customFormat="false" ht="15" hidden="false" customHeight="false" outlineLevel="0" collapsed="false">
      <c r="F269" s="7" t="str">
        <f aca="false">IF(AND(D269&lt;&gt;"",E269&lt;&gt;""),D269*E269,"")</f>
        <v/>
      </c>
    </row>
    <row r="270" customFormat="false" ht="15" hidden="false" customHeight="false" outlineLevel="0" collapsed="false">
      <c r="F270" s="12" t="str">
        <f aca="false">IF(AND(D270&lt;&gt;"",E270&lt;&gt;""),D270*E270,"")</f>
        <v/>
      </c>
    </row>
    <row r="271" customFormat="false" ht="15" hidden="false" customHeight="false" outlineLevel="0" collapsed="false">
      <c r="F271" s="7" t="str">
        <f aca="false">IF(AND(D271&lt;&gt;"",E271&lt;&gt;""),D271*E271,"")</f>
        <v/>
      </c>
    </row>
    <row r="272" customFormat="false" ht="15" hidden="false" customHeight="false" outlineLevel="0" collapsed="false">
      <c r="F272" s="12" t="str">
        <f aca="false">IF(AND(D272&lt;&gt;"",E272&lt;&gt;""),D272*E272,"")</f>
        <v/>
      </c>
    </row>
    <row r="273" customFormat="false" ht="15" hidden="false" customHeight="false" outlineLevel="0" collapsed="false">
      <c r="F273" s="7" t="str">
        <f aca="false">IF(AND(D273&lt;&gt;"",E273&lt;&gt;""),D273*E273,"")</f>
        <v/>
      </c>
    </row>
    <row r="274" customFormat="false" ht="15" hidden="false" customHeight="false" outlineLevel="0" collapsed="false">
      <c r="F274" s="12" t="str">
        <f aca="false">IF(AND(D274&lt;&gt;"",E274&lt;&gt;""),D274*E274,"")</f>
        <v/>
      </c>
    </row>
    <row r="275" customFormat="false" ht="15" hidden="false" customHeight="false" outlineLevel="0" collapsed="false">
      <c r="F275" s="7" t="str">
        <f aca="false">IF(AND(D275&lt;&gt;"",E275&lt;&gt;""),D275*E275,"")</f>
        <v/>
      </c>
    </row>
    <row r="276" customFormat="false" ht="15" hidden="false" customHeight="false" outlineLevel="0" collapsed="false">
      <c r="F276" s="12" t="str">
        <f aca="false">IF(AND(D276&lt;&gt;"",E276&lt;&gt;""),D276*E276,"")</f>
        <v/>
      </c>
    </row>
    <row r="277" customFormat="false" ht="15" hidden="false" customHeight="false" outlineLevel="0" collapsed="false">
      <c r="F277" s="7" t="str">
        <f aca="false">IF(AND(D277&lt;&gt;"",E277&lt;&gt;""),D277*E277,"")</f>
        <v/>
      </c>
    </row>
    <row r="278" customFormat="false" ht="15" hidden="false" customHeight="false" outlineLevel="0" collapsed="false">
      <c r="F278" s="12" t="str">
        <f aca="false">IF(AND(D278&lt;&gt;"",E278&lt;&gt;""),D278*E278,"")</f>
        <v/>
      </c>
    </row>
    <row r="279" customFormat="false" ht="15" hidden="false" customHeight="false" outlineLevel="0" collapsed="false">
      <c r="F279" s="7" t="str">
        <f aca="false">IF(AND(D279&lt;&gt;"",E279&lt;&gt;""),D279*E279,"")</f>
        <v/>
      </c>
    </row>
    <row r="280" customFormat="false" ht="15" hidden="false" customHeight="false" outlineLevel="0" collapsed="false">
      <c r="F280" s="12" t="str">
        <f aca="false">IF(AND(D280&lt;&gt;"",E280&lt;&gt;""),D280*E280,"")</f>
        <v/>
      </c>
    </row>
    <row r="281" customFormat="false" ht="15" hidden="false" customHeight="false" outlineLevel="0" collapsed="false">
      <c r="F281" s="7" t="str">
        <f aca="false">IF(AND(D281&lt;&gt;"",E281&lt;&gt;""),D281*E281,"")</f>
        <v/>
      </c>
    </row>
    <row r="282" customFormat="false" ht="15" hidden="false" customHeight="false" outlineLevel="0" collapsed="false">
      <c r="F282" s="12" t="str">
        <f aca="false">IF(AND(D282&lt;&gt;"",E282&lt;&gt;""),D282*E282,"")</f>
        <v/>
      </c>
    </row>
    <row r="283" customFormat="false" ht="15" hidden="false" customHeight="false" outlineLevel="0" collapsed="false">
      <c r="F283" s="7" t="str">
        <f aca="false">IF(AND(D283&lt;&gt;"",E283&lt;&gt;""),D283*E283,"")</f>
        <v/>
      </c>
    </row>
    <row r="284" customFormat="false" ht="15" hidden="false" customHeight="false" outlineLevel="0" collapsed="false">
      <c r="F284" s="12" t="str">
        <f aca="false">IF(AND(D284&lt;&gt;"",E284&lt;&gt;""),D284*E284,"")</f>
        <v/>
      </c>
    </row>
    <row r="285" customFormat="false" ht="15" hidden="false" customHeight="false" outlineLevel="0" collapsed="false">
      <c r="F285" s="7" t="str">
        <f aca="false">IF(AND(D285&lt;&gt;"",E285&lt;&gt;""),D285*E285,"")</f>
        <v/>
      </c>
    </row>
    <row r="286" customFormat="false" ht="15" hidden="false" customHeight="false" outlineLevel="0" collapsed="false">
      <c r="F286" s="12" t="str">
        <f aca="false">IF(AND(D286&lt;&gt;"",E286&lt;&gt;""),D286*E286,"")</f>
        <v/>
      </c>
    </row>
    <row r="287" customFormat="false" ht="15" hidden="false" customHeight="false" outlineLevel="0" collapsed="false">
      <c r="F287" s="7" t="str">
        <f aca="false">IF(AND(D287&lt;&gt;"",E287&lt;&gt;""),D287*E287,"")</f>
        <v/>
      </c>
    </row>
    <row r="288" customFormat="false" ht="15" hidden="false" customHeight="false" outlineLevel="0" collapsed="false">
      <c r="F288" s="12" t="str">
        <f aca="false">IF(AND(D288&lt;&gt;"",E288&lt;&gt;""),D288*E288,"")</f>
        <v/>
      </c>
    </row>
    <row r="289" customFormat="false" ht="15" hidden="false" customHeight="false" outlineLevel="0" collapsed="false">
      <c r="F289" s="7" t="str">
        <f aca="false">IF(AND(D289&lt;&gt;"",E289&lt;&gt;""),D289*E289,"")</f>
        <v/>
      </c>
    </row>
    <row r="290" customFormat="false" ht="15" hidden="false" customHeight="false" outlineLevel="0" collapsed="false">
      <c r="F290" s="12" t="str">
        <f aca="false">IF(AND(D290&lt;&gt;"",E290&lt;&gt;""),D290*E290,"")</f>
        <v/>
      </c>
    </row>
    <row r="291" customFormat="false" ht="15" hidden="false" customHeight="false" outlineLevel="0" collapsed="false">
      <c r="F291" s="7" t="str">
        <f aca="false">IF(AND(D291&lt;&gt;"",E291&lt;&gt;""),D291*E291,"")</f>
        <v/>
      </c>
    </row>
    <row r="292" customFormat="false" ht="15" hidden="false" customHeight="false" outlineLevel="0" collapsed="false">
      <c r="F292" s="12" t="str">
        <f aca="false">IF(AND(D292&lt;&gt;"",E292&lt;&gt;""),D292*E292,"")</f>
        <v/>
      </c>
    </row>
    <row r="293" customFormat="false" ht="15" hidden="false" customHeight="false" outlineLevel="0" collapsed="false">
      <c r="F293" s="7" t="str">
        <f aca="false">IF(AND(D293&lt;&gt;"",E293&lt;&gt;""),D293*E293,"")</f>
        <v/>
      </c>
    </row>
    <row r="294" customFormat="false" ht="15" hidden="false" customHeight="false" outlineLevel="0" collapsed="false">
      <c r="F294" s="12" t="str">
        <f aca="false">IF(AND(D294&lt;&gt;"",E294&lt;&gt;""),D294*E294,"")</f>
        <v/>
      </c>
    </row>
    <row r="295" customFormat="false" ht="15" hidden="false" customHeight="false" outlineLevel="0" collapsed="false">
      <c r="F295" s="7" t="str">
        <f aca="false">IF(AND(D295&lt;&gt;"",E295&lt;&gt;""),D295*E295,"")</f>
        <v/>
      </c>
    </row>
    <row r="296" customFormat="false" ht="15" hidden="false" customHeight="false" outlineLevel="0" collapsed="false">
      <c r="F296" s="12" t="str">
        <f aca="false">IF(AND(D296&lt;&gt;"",E296&lt;&gt;""),D296*E296,"")</f>
        <v/>
      </c>
    </row>
    <row r="297" customFormat="false" ht="15" hidden="false" customHeight="false" outlineLevel="0" collapsed="false">
      <c r="F297" s="7" t="str">
        <f aca="false">IF(AND(D297&lt;&gt;"",E297&lt;&gt;""),D297*E297,"")</f>
        <v/>
      </c>
    </row>
    <row r="298" customFormat="false" ht="15" hidden="false" customHeight="false" outlineLevel="0" collapsed="false">
      <c r="F298" s="12" t="str">
        <f aca="false">IF(AND(D298&lt;&gt;"",E298&lt;&gt;""),D298*E298,"")</f>
        <v/>
      </c>
    </row>
    <row r="299" customFormat="false" ht="15" hidden="false" customHeight="false" outlineLevel="0" collapsed="false">
      <c r="F299" s="7" t="str">
        <f aca="false">IF(AND(D299&lt;&gt;"",E299&lt;&gt;""),D299*E299,"")</f>
        <v/>
      </c>
    </row>
    <row r="300" customFormat="false" ht="15" hidden="false" customHeight="false" outlineLevel="0" collapsed="false">
      <c r="F300" s="12" t="str">
        <f aca="false">IF(AND(D300&lt;&gt;"",E300&lt;&gt;""),D300*E300,"")</f>
        <v/>
      </c>
    </row>
    <row r="301" customFormat="false" ht="15" hidden="false" customHeight="false" outlineLevel="0" collapsed="false">
      <c r="F301" s="7" t="str">
        <f aca="false">IF(AND(D301&lt;&gt;"",E301&lt;&gt;""),D301*E301,"")</f>
        <v/>
      </c>
    </row>
    <row r="302" customFormat="false" ht="15" hidden="false" customHeight="false" outlineLevel="0" collapsed="false">
      <c r="F302" s="12" t="str">
        <f aca="false">IF(AND(D302&lt;&gt;"",E302&lt;&gt;""),D302*E302,"")</f>
        <v/>
      </c>
    </row>
    <row r="303" customFormat="false" ht="15" hidden="false" customHeight="false" outlineLevel="0" collapsed="false">
      <c r="F303" s="7" t="str">
        <f aca="false">IF(AND(D303&lt;&gt;"",E303&lt;&gt;""),D303*E303,"")</f>
        <v/>
      </c>
    </row>
    <row r="304" customFormat="false" ht="15" hidden="false" customHeight="false" outlineLevel="0" collapsed="false">
      <c r="F304" s="12" t="str">
        <f aca="false">IF(AND(D304&lt;&gt;"",E304&lt;&gt;""),D304*E304,"")</f>
        <v/>
      </c>
    </row>
    <row r="305" customFormat="false" ht="15" hidden="false" customHeight="false" outlineLevel="0" collapsed="false">
      <c r="F305" s="7" t="str">
        <f aca="false">IF(AND(D305&lt;&gt;"",E305&lt;&gt;""),D305*E305,"")</f>
        <v/>
      </c>
    </row>
    <row r="306" customFormat="false" ht="15" hidden="false" customHeight="false" outlineLevel="0" collapsed="false">
      <c r="F306" s="12" t="str">
        <f aca="false">IF(AND(D306&lt;&gt;"",E306&lt;&gt;""),D306*E306,"")</f>
        <v/>
      </c>
    </row>
    <row r="307" customFormat="false" ht="15" hidden="false" customHeight="false" outlineLevel="0" collapsed="false">
      <c r="F307" s="7" t="str">
        <f aca="false">IF(AND(D307&lt;&gt;"",E307&lt;&gt;""),D307*E307,"")</f>
        <v/>
      </c>
    </row>
    <row r="308" customFormat="false" ht="15" hidden="false" customHeight="false" outlineLevel="0" collapsed="false">
      <c r="F308" s="12" t="str">
        <f aca="false">IF(AND(D308&lt;&gt;"",E308&lt;&gt;""),D308*E308,"")</f>
        <v/>
      </c>
    </row>
    <row r="309" customFormat="false" ht="15" hidden="false" customHeight="false" outlineLevel="0" collapsed="false">
      <c r="F309" s="7" t="str">
        <f aca="false">IF(AND(D309&lt;&gt;"",E309&lt;&gt;""),D309*E309,"")</f>
        <v/>
      </c>
    </row>
    <row r="310" customFormat="false" ht="15" hidden="false" customHeight="false" outlineLevel="0" collapsed="false">
      <c r="F310" s="12" t="str">
        <f aca="false">IF(AND(D310&lt;&gt;"",E310&lt;&gt;""),D310*E310,"")</f>
        <v/>
      </c>
    </row>
    <row r="311" customFormat="false" ht="15" hidden="false" customHeight="false" outlineLevel="0" collapsed="false">
      <c r="F311" s="7" t="str">
        <f aca="false">IF(AND(D311&lt;&gt;"",E311&lt;&gt;""),D311*E311,"")</f>
        <v/>
      </c>
    </row>
    <row r="312" customFormat="false" ht="15" hidden="false" customHeight="false" outlineLevel="0" collapsed="false">
      <c r="F312" s="12" t="str">
        <f aca="false">IF(AND(D312&lt;&gt;"",E312&lt;&gt;""),D312*E312,"")</f>
        <v/>
      </c>
    </row>
    <row r="313" customFormat="false" ht="15" hidden="false" customHeight="false" outlineLevel="0" collapsed="false">
      <c r="F313" s="7" t="str">
        <f aca="false">IF(AND(D313&lt;&gt;"",E313&lt;&gt;""),D313*E313,"")</f>
        <v/>
      </c>
    </row>
    <row r="314" customFormat="false" ht="15" hidden="false" customHeight="false" outlineLevel="0" collapsed="false">
      <c r="F314" s="12" t="str">
        <f aca="false">IF(AND(D314&lt;&gt;"",E314&lt;&gt;""),D314*E314,"")</f>
        <v/>
      </c>
    </row>
    <row r="315" customFormat="false" ht="15" hidden="false" customHeight="false" outlineLevel="0" collapsed="false">
      <c r="F315" s="7" t="str">
        <f aca="false">IF(AND(D315&lt;&gt;"",E315&lt;&gt;""),D315*E315,"")</f>
        <v/>
      </c>
    </row>
    <row r="316" customFormat="false" ht="15" hidden="false" customHeight="false" outlineLevel="0" collapsed="false">
      <c r="F316" s="12" t="str">
        <f aca="false">IF(AND(D316&lt;&gt;"",E316&lt;&gt;""),D316*E316,"")</f>
        <v/>
      </c>
    </row>
    <row r="317" customFormat="false" ht="15" hidden="false" customHeight="false" outlineLevel="0" collapsed="false">
      <c r="F317" s="7" t="str">
        <f aca="false">IF(AND(D317&lt;&gt;"",E317&lt;&gt;""),D317*E317,"")</f>
        <v/>
      </c>
    </row>
    <row r="318" customFormat="false" ht="15" hidden="false" customHeight="false" outlineLevel="0" collapsed="false">
      <c r="F318" s="12" t="str">
        <f aca="false">IF(AND(D318&lt;&gt;"",E318&lt;&gt;""),D318*E318,"")</f>
        <v/>
      </c>
    </row>
    <row r="319" customFormat="false" ht="15" hidden="false" customHeight="false" outlineLevel="0" collapsed="false">
      <c r="F319" s="7" t="str">
        <f aca="false">IF(AND(D319&lt;&gt;"",E319&lt;&gt;""),D319*E319,"")</f>
        <v/>
      </c>
    </row>
    <row r="320" customFormat="false" ht="15" hidden="false" customHeight="false" outlineLevel="0" collapsed="false">
      <c r="F320" s="12" t="str">
        <f aca="false">IF(AND(D320&lt;&gt;"",E320&lt;&gt;""),D320*E320,"")</f>
        <v/>
      </c>
    </row>
    <row r="321" customFormat="false" ht="15" hidden="false" customHeight="false" outlineLevel="0" collapsed="false">
      <c r="F321" s="7" t="str">
        <f aca="false">IF(AND(D321&lt;&gt;"",E321&lt;&gt;""),D321*E321,"")</f>
        <v/>
      </c>
    </row>
    <row r="322" customFormat="false" ht="15" hidden="false" customHeight="false" outlineLevel="0" collapsed="false">
      <c r="F322" s="12" t="str">
        <f aca="false">IF(AND(D322&lt;&gt;"",E322&lt;&gt;""),D322*E322,"")</f>
        <v/>
      </c>
    </row>
    <row r="323" customFormat="false" ht="15" hidden="false" customHeight="false" outlineLevel="0" collapsed="false">
      <c r="F323" s="7" t="str">
        <f aca="false">IF(AND(D323&lt;&gt;"",E323&lt;&gt;""),D323*E323,"")</f>
        <v/>
      </c>
    </row>
    <row r="324" customFormat="false" ht="15" hidden="false" customHeight="false" outlineLevel="0" collapsed="false">
      <c r="F324" s="12" t="str">
        <f aca="false">IF(AND(D324&lt;&gt;"",E324&lt;&gt;""),D324*E324,"")</f>
        <v/>
      </c>
    </row>
    <row r="325" customFormat="false" ht="15" hidden="false" customHeight="false" outlineLevel="0" collapsed="false">
      <c r="F325" s="7" t="str">
        <f aca="false">IF(AND(D325&lt;&gt;"",E325&lt;&gt;""),D325*E325,"")</f>
        <v/>
      </c>
    </row>
    <row r="326" customFormat="false" ht="15" hidden="false" customHeight="false" outlineLevel="0" collapsed="false">
      <c r="F326" s="12" t="str">
        <f aca="false">IF(AND(D326&lt;&gt;"",E326&lt;&gt;""),D326*E326,"")</f>
        <v/>
      </c>
    </row>
    <row r="327" customFormat="false" ht="15" hidden="false" customHeight="false" outlineLevel="0" collapsed="false">
      <c r="F327" s="7" t="str">
        <f aca="false">IF(AND(D327&lt;&gt;"",E327&lt;&gt;""),D327*E327,"")</f>
        <v/>
      </c>
    </row>
    <row r="328" customFormat="false" ht="15" hidden="false" customHeight="false" outlineLevel="0" collapsed="false">
      <c r="F328" s="12" t="str">
        <f aca="false">IF(AND(D328&lt;&gt;"",E328&lt;&gt;""),D328*E328,"")</f>
        <v/>
      </c>
    </row>
    <row r="329" customFormat="false" ht="15" hidden="false" customHeight="false" outlineLevel="0" collapsed="false">
      <c r="F329" s="7" t="str">
        <f aca="false">IF(AND(D329&lt;&gt;"",E329&lt;&gt;""),D329*E329,"")</f>
        <v/>
      </c>
    </row>
    <row r="330" customFormat="false" ht="15" hidden="false" customHeight="false" outlineLevel="0" collapsed="false">
      <c r="F330" s="12" t="str">
        <f aca="false">IF(AND(D330&lt;&gt;"",E330&lt;&gt;""),D330*E330,"")</f>
        <v/>
      </c>
    </row>
    <row r="331" customFormat="false" ht="15" hidden="false" customHeight="false" outlineLevel="0" collapsed="false">
      <c r="F331" s="7" t="str">
        <f aca="false">IF(AND(D331&lt;&gt;"",E331&lt;&gt;""),D331*E331,"")</f>
        <v/>
      </c>
    </row>
    <row r="332" customFormat="false" ht="15" hidden="false" customHeight="false" outlineLevel="0" collapsed="false">
      <c r="F332" s="12" t="str">
        <f aca="false">IF(AND(D332&lt;&gt;"",E332&lt;&gt;""),D332*E332,"")</f>
        <v/>
      </c>
    </row>
    <row r="333" customFormat="false" ht="15" hidden="false" customHeight="false" outlineLevel="0" collapsed="false">
      <c r="F333" s="7" t="str">
        <f aca="false">IF(AND(D333&lt;&gt;"",E333&lt;&gt;""),D333*E333,"")</f>
        <v/>
      </c>
    </row>
    <row r="334" customFormat="false" ht="15" hidden="false" customHeight="false" outlineLevel="0" collapsed="false">
      <c r="F334" s="12" t="str">
        <f aca="false">IF(AND(D334&lt;&gt;"",E334&lt;&gt;""),D334*E334,"")</f>
        <v/>
      </c>
    </row>
    <row r="335" customFormat="false" ht="15" hidden="false" customHeight="false" outlineLevel="0" collapsed="false">
      <c r="F335" s="7" t="str">
        <f aca="false">IF(AND(D335&lt;&gt;"",E335&lt;&gt;""),D335*E335,"")</f>
        <v/>
      </c>
    </row>
    <row r="336" customFormat="false" ht="15" hidden="false" customHeight="false" outlineLevel="0" collapsed="false">
      <c r="F336" s="12" t="str">
        <f aca="false">IF(AND(D336&lt;&gt;"",E336&lt;&gt;""),D336*E336,"")</f>
        <v/>
      </c>
    </row>
    <row r="337" customFormat="false" ht="15" hidden="false" customHeight="false" outlineLevel="0" collapsed="false">
      <c r="F337" s="7" t="str">
        <f aca="false">IF(AND(D337&lt;&gt;"",E337&lt;&gt;""),D337*E337,"")</f>
        <v/>
      </c>
    </row>
    <row r="338" customFormat="false" ht="15" hidden="false" customHeight="false" outlineLevel="0" collapsed="false">
      <c r="F338" s="12" t="str">
        <f aca="false">IF(AND(D338&lt;&gt;"",E338&lt;&gt;""),D338*E338,"")</f>
        <v/>
      </c>
    </row>
    <row r="339" customFormat="false" ht="15" hidden="false" customHeight="false" outlineLevel="0" collapsed="false">
      <c r="F339" s="7" t="str">
        <f aca="false">IF(AND(D339&lt;&gt;"",E339&lt;&gt;""),D339*E339,"")</f>
        <v/>
      </c>
    </row>
    <row r="340" customFormat="false" ht="15" hidden="false" customHeight="false" outlineLevel="0" collapsed="false">
      <c r="F340" s="12" t="str">
        <f aca="false">IF(AND(D340&lt;&gt;"",E340&lt;&gt;""),D340*E340,"")</f>
        <v/>
      </c>
    </row>
    <row r="341" customFormat="false" ht="15" hidden="false" customHeight="false" outlineLevel="0" collapsed="false">
      <c r="F341" s="7" t="str">
        <f aca="false">IF(AND(D341&lt;&gt;"",E341&lt;&gt;""),D341*E341,"")</f>
        <v/>
      </c>
    </row>
    <row r="342" customFormat="false" ht="15" hidden="false" customHeight="false" outlineLevel="0" collapsed="false">
      <c r="F342" s="12" t="str">
        <f aca="false">IF(AND(D342&lt;&gt;"",E342&lt;&gt;""),D342*E342,"")</f>
        <v/>
      </c>
    </row>
    <row r="343" customFormat="false" ht="15" hidden="false" customHeight="false" outlineLevel="0" collapsed="false">
      <c r="F343" s="7" t="str">
        <f aca="false">IF(AND(D343&lt;&gt;"",E343&lt;&gt;""),D343*E343,"")</f>
        <v/>
      </c>
    </row>
    <row r="344" customFormat="false" ht="15" hidden="false" customHeight="false" outlineLevel="0" collapsed="false">
      <c r="F344" s="12" t="str">
        <f aca="false">IF(AND(D344&lt;&gt;"",E344&lt;&gt;""),D344*E344,"")</f>
        <v/>
      </c>
    </row>
    <row r="345" customFormat="false" ht="15" hidden="false" customHeight="false" outlineLevel="0" collapsed="false">
      <c r="F345" s="7" t="str">
        <f aca="false">IF(AND(D345&lt;&gt;"",E345&lt;&gt;""),D345*E345,"")</f>
        <v/>
      </c>
    </row>
    <row r="346" customFormat="false" ht="15" hidden="false" customHeight="false" outlineLevel="0" collapsed="false">
      <c r="F346" s="12" t="str">
        <f aca="false">IF(AND(D346&lt;&gt;"",E346&lt;&gt;""),D346*E346,"")</f>
        <v/>
      </c>
    </row>
    <row r="347" customFormat="false" ht="15" hidden="false" customHeight="false" outlineLevel="0" collapsed="false">
      <c r="F347" s="7" t="str">
        <f aca="false">IF(AND(D347&lt;&gt;"",E347&lt;&gt;""),D347*E347,"")</f>
        <v/>
      </c>
    </row>
    <row r="348" customFormat="false" ht="15" hidden="false" customHeight="false" outlineLevel="0" collapsed="false">
      <c r="F348" s="12" t="str">
        <f aca="false">IF(AND(D348&lt;&gt;"",E348&lt;&gt;""),D348*E348,"")</f>
        <v/>
      </c>
    </row>
    <row r="349" customFormat="false" ht="15" hidden="false" customHeight="false" outlineLevel="0" collapsed="false">
      <c r="F349" s="7" t="str">
        <f aca="false">IF(AND(D349&lt;&gt;"",E349&lt;&gt;""),D349*E349,"")</f>
        <v/>
      </c>
    </row>
    <row r="350" customFormat="false" ht="15" hidden="false" customHeight="false" outlineLevel="0" collapsed="false">
      <c r="F350" s="12" t="str">
        <f aca="false">IF(AND(D350&lt;&gt;"",E350&lt;&gt;""),D350*E350,"")</f>
        <v/>
      </c>
    </row>
    <row r="351" customFormat="false" ht="15" hidden="false" customHeight="false" outlineLevel="0" collapsed="false">
      <c r="F351" s="7" t="str">
        <f aca="false">IF(AND(D351&lt;&gt;"",E351&lt;&gt;""),D351*E351,"")</f>
        <v/>
      </c>
    </row>
    <row r="352" customFormat="false" ht="15" hidden="false" customHeight="false" outlineLevel="0" collapsed="false">
      <c r="F352" s="12" t="str">
        <f aca="false">IF(AND(D352&lt;&gt;"",E352&lt;&gt;""),D352*E352,"")</f>
        <v/>
      </c>
    </row>
    <row r="353" customFormat="false" ht="15" hidden="false" customHeight="false" outlineLevel="0" collapsed="false">
      <c r="F353" s="7" t="str">
        <f aca="false">IF(AND(D353&lt;&gt;"",E353&lt;&gt;""),D353*E353,"")</f>
        <v/>
      </c>
    </row>
    <row r="354" customFormat="false" ht="15" hidden="false" customHeight="false" outlineLevel="0" collapsed="false">
      <c r="F354" s="12" t="str">
        <f aca="false">IF(AND(D354&lt;&gt;"",E354&lt;&gt;""),D354*E354,"")</f>
        <v/>
      </c>
    </row>
    <row r="355" customFormat="false" ht="15" hidden="false" customHeight="false" outlineLevel="0" collapsed="false">
      <c r="F355" s="7" t="str">
        <f aca="false">IF(AND(D355&lt;&gt;"",E355&lt;&gt;""),D355*E355,"")</f>
        <v/>
      </c>
    </row>
    <row r="356" customFormat="false" ht="15" hidden="false" customHeight="false" outlineLevel="0" collapsed="false">
      <c r="F356" s="12" t="str">
        <f aca="false">IF(AND(D356&lt;&gt;"",E356&lt;&gt;""),D356*E356,"")</f>
        <v/>
      </c>
    </row>
    <row r="357" customFormat="false" ht="15" hidden="false" customHeight="false" outlineLevel="0" collapsed="false">
      <c r="F357" s="7" t="str">
        <f aca="false">IF(AND(D357&lt;&gt;"",E357&lt;&gt;""),D357*E357,"")</f>
        <v/>
      </c>
    </row>
    <row r="358" customFormat="false" ht="15" hidden="false" customHeight="false" outlineLevel="0" collapsed="false">
      <c r="F358" s="12" t="str">
        <f aca="false">IF(AND(D358&lt;&gt;"",E358&lt;&gt;""),D358*E358,"")</f>
        <v/>
      </c>
    </row>
    <row r="359" customFormat="false" ht="15" hidden="false" customHeight="false" outlineLevel="0" collapsed="false">
      <c r="F359" s="7" t="str">
        <f aca="false">IF(AND(D359&lt;&gt;"",E359&lt;&gt;""),D359*E359,"")</f>
        <v/>
      </c>
    </row>
    <row r="360" customFormat="false" ht="15" hidden="false" customHeight="false" outlineLevel="0" collapsed="false">
      <c r="F360" s="12" t="str">
        <f aca="false">IF(AND(D360&lt;&gt;"",E360&lt;&gt;""),D360*E360,"")</f>
        <v/>
      </c>
    </row>
    <row r="361" customFormat="false" ht="15" hidden="false" customHeight="false" outlineLevel="0" collapsed="false">
      <c r="F361" s="7" t="str">
        <f aca="false">IF(AND(D361&lt;&gt;"",E361&lt;&gt;""),D361*E361,"")</f>
        <v/>
      </c>
    </row>
    <row r="362" customFormat="false" ht="15" hidden="false" customHeight="false" outlineLevel="0" collapsed="false">
      <c r="F362" s="12" t="str">
        <f aca="false">IF(AND(D362&lt;&gt;"",E362&lt;&gt;""),D362*E362,"")</f>
        <v/>
      </c>
    </row>
    <row r="363" customFormat="false" ht="15" hidden="false" customHeight="false" outlineLevel="0" collapsed="false">
      <c r="F363" s="7" t="str">
        <f aca="false">IF(AND(D363&lt;&gt;"",E363&lt;&gt;""),D363*E363,"")</f>
        <v/>
      </c>
    </row>
    <row r="364" customFormat="false" ht="15" hidden="false" customHeight="false" outlineLevel="0" collapsed="false">
      <c r="F364" s="12" t="str">
        <f aca="false">IF(AND(D364&lt;&gt;"",E364&lt;&gt;""),D364*E364,"")</f>
        <v/>
      </c>
    </row>
    <row r="365" customFormat="false" ht="15" hidden="false" customHeight="false" outlineLevel="0" collapsed="false">
      <c r="F365" s="7" t="str">
        <f aca="false">IF(AND(D365&lt;&gt;"",E365&lt;&gt;""),D365*E365,"")</f>
        <v/>
      </c>
    </row>
    <row r="366" customFormat="false" ht="15" hidden="false" customHeight="false" outlineLevel="0" collapsed="false">
      <c r="F366" s="12" t="str">
        <f aca="false">IF(AND(D366&lt;&gt;"",E366&lt;&gt;""),D366*E366,"")</f>
        <v/>
      </c>
    </row>
    <row r="367" customFormat="false" ht="15" hidden="false" customHeight="false" outlineLevel="0" collapsed="false">
      <c r="F367" s="7" t="str">
        <f aca="false">IF(AND(D367&lt;&gt;"",E367&lt;&gt;""),D367*E367,"")</f>
        <v/>
      </c>
    </row>
    <row r="368" customFormat="false" ht="15" hidden="false" customHeight="false" outlineLevel="0" collapsed="false">
      <c r="F368" s="12" t="str">
        <f aca="false">IF(AND(D368&lt;&gt;"",E368&lt;&gt;""),D368*E368,"")</f>
        <v/>
      </c>
    </row>
    <row r="369" customFormat="false" ht="15" hidden="false" customHeight="false" outlineLevel="0" collapsed="false">
      <c r="F369" s="7" t="str">
        <f aca="false">IF(AND(D369&lt;&gt;"",E369&lt;&gt;""),D369*E369,"")</f>
        <v/>
      </c>
    </row>
    <row r="370" customFormat="false" ht="15" hidden="false" customHeight="false" outlineLevel="0" collapsed="false">
      <c r="F370" s="12" t="str">
        <f aca="false">IF(AND(D370&lt;&gt;"",E370&lt;&gt;""),D370*E370,"")</f>
        <v/>
      </c>
    </row>
    <row r="371" customFormat="false" ht="15" hidden="false" customHeight="false" outlineLevel="0" collapsed="false">
      <c r="F371" s="7" t="str">
        <f aca="false">IF(AND(D371&lt;&gt;"",E371&lt;&gt;""),D371*E371,"")</f>
        <v/>
      </c>
    </row>
    <row r="372" customFormat="false" ht="15" hidden="false" customHeight="false" outlineLevel="0" collapsed="false">
      <c r="F372" s="12" t="str">
        <f aca="false">IF(AND(D372&lt;&gt;"",E372&lt;&gt;""),D372*E372,"")</f>
        <v/>
      </c>
    </row>
    <row r="373" customFormat="false" ht="15" hidden="false" customHeight="false" outlineLevel="0" collapsed="false">
      <c r="F373" s="7" t="str">
        <f aca="false">IF(AND(D373&lt;&gt;"",E373&lt;&gt;""),D373*E373,"")</f>
        <v/>
      </c>
    </row>
    <row r="374" customFormat="false" ht="15" hidden="false" customHeight="false" outlineLevel="0" collapsed="false">
      <c r="F374" s="12" t="str">
        <f aca="false">IF(AND(D374&lt;&gt;"",E374&lt;&gt;""),D374*E374,"")</f>
        <v/>
      </c>
    </row>
    <row r="375" customFormat="false" ht="15" hidden="false" customHeight="false" outlineLevel="0" collapsed="false">
      <c r="F375" s="7" t="str">
        <f aca="false">IF(AND(D375&lt;&gt;"",E375&lt;&gt;""),D375*E375,"")</f>
        <v/>
      </c>
    </row>
    <row r="376" customFormat="false" ht="15" hidden="false" customHeight="false" outlineLevel="0" collapsed="false">
      <c r="F376" s="12" t="str">
        <f aca="false">IF(AND(D376&lt;&gt;"",E376&lt;&gt;""),D376*E376,"")</f>
        <v/>
      </c>
    </row>
    <row r="377" customFormat="false" ht="15" hidden="false" customHeight="false" outlineLevel="0" collapsed="false">
      <c r="F377" s="7" t="str">
        <f aca="false">IF(AND(D377&lt;&gt;"",E377&lt;&gt;""),D377*E377,"")</f>
        <v/>
      </c>
    </row>
    <row r="378" customFormat="false" ht="15" hidden="false" customHeight="false" outlineLevel="0" collapsed="false">
      <c r="F378" s="12" t="str">
        <f aca="false">IF(AND(D378&lt;&gt;"",E378&lt;&gt;""),D378*E378,"")</f>
        <v/>
      </c>
    </row>
    <row r="379" customFormat="false" ht="15" hidden="false" customHeight="false" outlineLevel="0" collapsed="false">
      <c r="F379" s="7" t="str">
        <f aca="false">IF(AND(D379&lt;&gt;"",E379&lt;&gt;""),D379*E379,"")</f>
        <v/>
      </c>
    </row>
    <row r="380" customFormat="false" ht="15" hidden="false" customHeight="false" outlineLevel="0" collapsed="false">
      <c r="F380" s="12" t="str">
        <f aca="false">IF(AND(D380&lt;&gt;"",E380&lt;&gt;""),D380*E380,"")</f>
        <v/>
      </c>
    </row>
    <row r="381" customFormat="false" ht="15" hidden="false" customHeight="false" outlineLevel="0" collapsed="false">
      <c r="F381" s="7" t="str">
        <f aca="false">IF(AND(D381&lt;&gt;"",E381&lt;&gt;""),D381*E381,"")</f>
        <v/>
      </c>
    </row>
    <row r="382" customFormat="false" ht="15" hidden="false" customHeight="false" outlineLevel="0" collapsed="false">
      <c r="F382" s="12" t="str">
        <f aca="false">IF(AND(D382&lt;&gt;"",E382&lt;&gt;""),D382*E382,"")</f>
        <v/>
      </c>
    </row>
    <row r="383" customFormat="false" ht="15" hidden="false" customHeight="false" outlineLevel="0" collapsed="false">
      <c r="F383" s="7" t="str">
        <f aca="false">IF(AND(D383&lt;&gt;"",E383&lt;&gt;""),D383*E383,"")</f>
        <v/>
      </c>
    </row>
    <row r="384" customFormat="false" ht="15" hidden="false" customHeight="false" outlineLevel="0" collapsed="false">
      <c r="F384" s="12" t="str">
        <f aca="false">IF(AND(D384&lt;&gt;"",E384&lt;&gt;""),D384*E384,"")</f>
        <v/>
      </c>
    </row>
    <row r="385" customFormat="false" ht="15" hidden="false" customHeight="false" outlineLevel="0" collapsed="false">
      <c r="F385" s="7" t="str">
        <f aca="false">IF(AND(D385&lt;&gt;"",E385&lt;&gt;""),D385*E385,"")</f>
        <v/>
      </c>
    </row>
    <row r="386" customFormat="false" ht="15" hidden="false" customHeight="false" outlineLevel="0" collapsed="false">
      <c r="F386" s="12" t="str">
        <f aca="false">IF(AND(D386&lt;&gt;"",E386&lt;&gt;""),D386*E386,"")</f>
        <v/>
      </c>
    </row>
    <row r="387" customFormat="false" ht="15" hidden="false" customHeight="false" outlineLevel="0" collapsed="false">
      <c r="F387" s="7" t="str">
        <f aca="false">IF(AND(D387&lt;&gt;"",E387&lt;&gt;""),D387*E387,"")</f>
        <v/>
      </c>
    </row>
    <row r="388" customFormat="false" ht="15" hidden="false" customHeight="false" outlineLevel="0" collapsed="false">
      <c r="F388" s="12" t="str">
        <f aca="false">IF(AND(D388&lt;&gt;"",E388&lt;&gt;""),D388*E388,"")</f>
        <v/>
      </c>
    </row>
    <row r="389" customFormat="false" ht="15" hidden="false" customHeight="false" outlineLevel="0" collapsed="false">
      <c r="F389" s="7" t="str">
        <f aca="false">IF(AND(D389&lt;&gt;"",E389&lt;&gt;""),D389*E389,"")</f>
        <v/>
      </c>
    </row>
    <row r="390" customFormat="false" ht="15" hidden="false" customHeight="false" outlineLevel="0" collapsed="false">
      <c r="F390" s="12" t="str">
        <f aca="false">IF(AND(D390&lt;&gt;"",E390&lt;&gt;""),D390*E390,"")</f>
        <v/>
      </c>
    </row>
    <row r="391" customFormat="false" ht="15" hidden="false" customHeight="false" outlineLevel="0" collapsed="false">
      <c r="F391" s="7" t="str">
        <f aca="false">IF(AND(D391&lt;&gt;"",E391&lt;&gt;""),D391*E391,"")</f>
        <v/>
      </c>
    </row>
    <row r="392" customFormat="false" ht="15" hidden="false" customHeight="false" outlineLevel="0" collapsed="false">
      <c r="F392" s="12" t="str">
        <f aca="false">IF(AND(D392&lt;&gt;"",E392&lt;&gt;""),D392*E392,"")</f>
        <v/>
      </c>
    </row>
    <row r="393" customFormat="false" ht="15" hidden="false" customHeight="false" outlineLevel="0" collapsed="false">
      <c r="F393" s="7" t="str">
        <f aca="false">IF(AND(D393&lt;&gt;"",E393&lt;&gt;""),D393*E393,"")</f>
        <v/>
      </c>
    </row>
    <row r="394" customFormat="false" ht="15" hidden="false" customHeight="false" outlineLevel="0" collapsed="false">
      <c r="F394" s="12" t="str">
        <f aca="false">IF(AND(D394&lt;&gt;"",E394&lt;&gt;""),D394*E394,"")</f>
        <v/>
      </c>
    </row>
    <row r="395" customFormat="false" ht="15" hidden="false" customHeight="false" outlineLevel="0" collapsed="false">
      <c r="F395" s="7" t="str">
        <f aca="false">IF(AND(D395&lt;&gt;"",E395&lt;&gt;""),D395*E395,"")</f>
        <v/>
      </c>
    </row>
    <row r="396" customFormat="false" ht="15" hidden="false" customHeight="false" outlineLevel="0" collapsed="false">
      <c r="F396" s="12" t="str">
        <f aca="false">IF(AND(D396&lt;&gt;"",E396&lt;&gt;""),D396*E396,"")</f>
        <v/>
      </c>
    </row>
    <row r="397" customFormat="false" ht="15" hidden="false" customHeight="false" outlineLevel="0" collapsed="false">
      <c r="F397" s="7" t="str">
        <f aca="false">IF(AND(D397&lt;&gt;"",E397&lt;&gt;""),D397*E397,"")</f>
        <v/>
      </c>
    </row>
    <row r="398" customFormat="false" ht="15" hidden="false" customHeight="false" outlineLevel="0" collapsed="false">
      <c r="F398" s="12" t="str">
        <f aca="false">IF(AND(D398&lt;&gt;"",E398&lt;&gt;""),D398*E398,"")</f>
        <v/>
      </c>
    </row>
    <row r="399" customFormat="false" ht="15" hidden="false" customHeight="false" outlineLevel="0" collapsed="false">
      <c r="F399" s="7" t="str">
        <f aca="false">IF(AND(D399&lt;&gt;"",E399&lt;&gt;""),D399*E399,"")</f>
        <v/>
      </c>
    </row>
    <row r="400" customFormat="false" ht="15" hidden="false" customHeight="false" outlineLevel="0" collapsed="false">
      <c r="F400" s="12" t="str">
        <f aca="false">IF(AND(D400&lt;&gt;"",E400&lt;&gt;""),D400*E400,"")</f>
        <v/>
      </c>
    </row>
    <row r="401" customFormat="false" ht="15" hidden="false" customHeight="false" outlineLevel="0" collapsed="false">
      <c r="F401" s="7" t="str">
        <f aca="false">IF(AND(D401&lt;&gt;"",E401&lt;&gt;""),D401*E401,"")</f>
        <v/>
      </c>
    </row>
    <row r="402" customFormat="false" ht="15" hidden="false" customHeight="false" outlineLevel="0" collapsed="false">
      <c r="F402" s="12" t="str">
        <f aca="false">IF(AND(D402&lt;&gt;"",E402&lt;&gt;""),D402*E402,"")</f>
        <v/>
      </c>
    </row>
    <row r="403" customFormat="false" ht="15" hidden="false" customHeight="false" outlineLevel="0" collapsed="false">
      <c r="F403" s="7" t="str">
        <f aca="false">IF(AND(D403&lt;&gt;"",E403&lt;&gt;""),D403*E403,"")</f>
        <v/>
      </c>
    </row>
    <row r="404" customFormat="false" ht="15" hidden="false" customHeight="false" outlineLevel="0" collapsed="false">
      <c r="F404" s="12" t="str">
        <f aca="false">IF(AND(D404&lt;&gt;"",E404&lt;&gt;""),D404*E404,"")</f>
        <v/>
      </c>
    </row>
    <row r="405" customFormat="false" ht="15" hidden="false" customHeight="false" outlineLevel="0" collapsed="false">
      <c r="F405" s="7" t="str">
        <f aca="false">IF(AND(D405&lt;&gt;"",E405&lt;&gt;""),D405*E405,"")</f>
        <v/>
      </c>
    </row>
    <row r="406" customFormat="false" ht="15" hidden="false" customHeight="false" outlineLevel="0" collapsed="false">
      <c r="F406" s="12" t="str">
        <f aca="false">IF(AND(D406&lt;&gt;"",E406&lt;&gt;""),D406*E406,"")</f>
        <v/>
      </c>
    </row>
    <row r="407" customFormat="false" ht="15" hidden="false" customHeight="false" outlineLevel="0" collapsed="false">
      <c r="F407" s="7" t="str">
        <f aca="false">IF(AND(D407&lt;&gt;"",E407&lt;&gt;""),D407*E407,"")</f>
        <v/>
      </c>
    </row>
    <row r="408" customFormat="false" ht="15" hidden="false" customHeight="false" outlineLevel="0" collapsed="false">
      <c r="F408" s="12" t="str">
        <f aca="false">IF(AND(D408&lt;&gt;"",E408&lt;&gt;""),D408*E408,"")</f>
        <v/>
      </c>
    </row>
    <row r="409" customFormat="false" ht="15" hidden="false" customHeight="false" outlineLevel="0" collapsed="false">
      <c r="F409" s="7" t="str">
        <f aca="false">IF(AND(D409&lt;&gt;"",E409&lt;&gt;""),D409*E409,"")</f>
        <v/>
      </c>
    </row>
    <row r="410" customFormat="false" ht="15" hidden="false" customHeight="false" outlineLevel="0" collapsed="false">
      <c r="F410" s="12" t="str">
        <f aca="false">IF(AND(D410&lt;&gt;"",E410&lt;&gt;""),D410*E410,"")</f>
        <v/>
      </c>
    </row>
    <row r="411" customFormat="false" ht="15" hidden="false" customHeight="false" outlineLevel="0" collapsed="false">
      <c r="F411" s="7" t="str">
        <f aca="false">IF(AND(D411&lt;&gt;"",E411&lt;&gt;""),D411*E411,"")</f>
        <v/>
      </c>
    </row>
    <row r="412" customFormat="false" ht="15" hidden="false" customHeight="false" outlineLevel="0" collapsed="false">
      <c r="F412" s="12" t="str">
        <f aca="false">IF(AND(D412&lt;&gt;"",E412&lt;&gt;""),D412*E412,"")</f>
        <v/>
      </c>
    </row>
    <row r="413" customFormat="false" ht="15" hidden="false" customHeight="false" outlineLevel="0" collapsed="false">
      <c r="F413" s="7" t="str">
        <f aca="false">IF(AND(D413&lt;&gt;"",E413&lt;&gt;""),D413*E413,"")</f>
        <v/>
      </c>
    </row>
    <row r="414" customFormat="false" ht="15" hidden="false" customHeight="false" outlineLevel="0" collapsed="false">
      <c r="F414" s="12" t="str">
        <f aca="false">IF(AND(D414&lt;&gt;"",E414&lt;&gt;""),D414*E414,"")</f>
        <v/>
      </c>
    </row>
    <row r="415" customFormat="false" ht="15" hidden="false" customHeight="false" outlineLevel="0" collapsed="false">
      <c r="F415" s="7" t="str">
        <f aca="false">IF(AND(D415&lt;&gt;"",E415&lt;&gt;""),D415*E415,"")</f>
        <v/>
      </c>
    </row>
    <row r="416" customFormat="false" ht="15" hidden="false" customHeight="false" outlineLevel="0" collapsed="false">
      <c r="F416" s="12" t="str">
        <f aca="false">IF(AND(D416&lt;&gt;"",E416&lt;&gt;""),D416*E416,"")</f>
        <v/>
      </c>
    </row>
    <row r="417" customFormat="false" ht="15" hidden="false" customHeight="false" outlineLevel="0" collapsed="false">
      <c r="F417" s="7" t="str">
        <f aca="false">IF(AND(D417&lt;&gt;"",E417&lt;&gt;""),D417*E417,"")</f>
        <v/>
      </c>
    </row>
    <row r="418" customFormat="false" ht="15" hidden="false" customHeight="false" outlineLevel="0" collapsed="false">
      <c r="F418" s="12" t="str">
        <f aca="false">IF(AND(D418&lt;&gt;"",E418&lt;&gt;""),D418*E418,"")</f>
        <v/>
      </c>
    </row>
    <row r="419" customFormat="false" ht="15" hidden="false" customHeight="false" outlineLevel="0" collapsed="false">
      <c r="F419" s="7" t="str">
        <f aca="false">IF(AND(D419&lt;&gt;"",E419&lt;&gt;""),D419*E419,"")</f>
        <v/>
      </c>
    </row>
    <row r="420" customFormat="false" ht="15" hidden="false" customHeight="false" outlineLevel="0" collapsed="false">
      <c r="F420" s="12" t="str">
        <f aca="false">IF(AND(D420&lt;&gt;"",E420&lt;&gt;""),D420*E420,"")</f>
        <v/>
      </c>
    </row>
    <row r="421" customFormat="false" ht="15" hidden="false" customHeight="false" outlineLevel="0" collapsed="false">
      <c r="F421" s="7" t="str">
        <f aca="false">IF(AND(D421&lt;&gt;"",E421&lt;&gt;""),D421*E421,"")</f>
        <v/>
      </c>
    </row>
    <row r="422" customFormat="false" ht="15" hidden="false" customHeight="false" outlineLevel="0" collapsed="false">
      <c r="F422" s="12" t="str">
        <f aca="false">IF(AND(D422&lt;&gt;"",E422&lt;&gt;""),D422*E422,"")</f>
        <v/>
      </c>
    </row>
    <row r="423" customFormat="false" ht="15" hidden="false" customHeight="false" outlineLevel="0" collapsed="false">
      <c r="F423" s="7" t="str">
        <f aca="false">IF(AND(D423&lt;&gt;"",E423&lt;&gt;""),D423*E423,"")</f>
        <v/>
      </c>
    </row>
    <row r="424" customFormat="false" ht="15" hidden="false" customHeight="false" outlineLevel="0" collapsed="false">
      <c r="F424" s="12" t="str">
        <f aca="false">IF(AND(D424&lt;&gt;"",E424&lt;&gt;""),D424*E424,"")</f>
        <v/>
      </c>
    </row>
    <row r="425" customFormat="false" ht="15" hidden="false" customHeight="false" outlineLevel="0" collapsed="false">
      <c r="F425" s="7" t="str">
        <f aca="false">IF(AND(D425&lt;&gt;"",E425&lt;&gt;""),D425*E425,"")</f>
        <v/>
      </c>
    </row>
    <row r="426" customFormat="false" ht="15" hidden="false" customHeight="false" outlineLevel="0" collapsed="false">
      <c r="F426" s="12" t="str">
        <f aca="false">IF(AND(D426&lt;&gt;"",E426&lt;&gt;""),D426*E426,"")</f>
        <v/>
      </c>
    </row>
    <row r="427" customFormat="false" ht="15" hidden="false" customHeight="false" outlineLevel="0" collapsed="false">
      <c r="F427" s="7" t="str">
        <f aca="false">IF(AND(D427&lt;&gt;"",E427&lt;&gt;""),D427*E427,"")</f>
        <v/>
      </c>
    </row>
    <row r="428" customFormat="false" ht="15" hidden="false" customHeight="false" outlineLevel="0" collapsed="false">
      <c r="F428" s="12" t="str">
        <f aca="false">IF(AND(D428&lt;&gt;"",E428&lt;&gt;""),D428*E428,"")</f>
        <v/>
      </c>
    </row>
    <row r="429" customFormat="false" ht="15" hidden="false" customHeight="false" outlineLevel="0" collapsed="false">
      <c r="F429" s="7" t="str">
        <f aca="false">IF(AND(D429&lt;&gt;"",E429&lt;&gt;""),D429*E429,"")</f>
        <v/>
      </c>
    </row>
    <row r="430" customFormat="false" ht="15" hidden="false" customHeight="false" outlineLevel="0" collapsed="false">
      <c r="F430" s="12" t="str">
        <f aca="false">IF(AND(D430&lt;&gt;"",E430&lt;&gt;""),D430*E430,"")</f>
        <v/>
      </c>
    </row>
    <row r="431" customFormat="false" ht="15" hidden="false" customHeight="false" outlineLevel="0" collapsed="false">
      <c r="F431" s="7" t="str">
        <f aca="false">IF(AND(D431&lt;&gt;"",E431&lt;&gt;""),D431*E431,"")</f>
        <v/>
      </c>
    </row>
    <row r="432" customFormat="false" ht="15" hidden="false" customHeight="false" outlineLevel="0" collapsed="false">
      <c r="F432" s="12" t="str">
        <f aca="false">IF(AND(D432&lt;&gt;"",E432&lt;&gt;""),D432*E432,"")</f>
        <v/>
      </c>
    </row>
    <row r="433" customFormat="false" ht="15" hidden="false" customHeight="false" outlineLevel="0" collapsed="false">
      <c r="F433" s="7" t="str">
        <f aca="false">IF(AND(D433&lt;&gt;"",E433&lt;&gt;""),D433*E433,"")</f>
        <v/>
      </c>
    </row>
    <row r="434" customFormat="false" ht="15" hidden="false" customHeight="false" outlineLevel="0" collapsed="false">
      <c r="F434" s="12" t="str">
        <f aca="false">IF(AND(D434&lt;&gt;"",E434&lt;&gt;""),D434*E434,"")</f>
        <v/>
      </c>
    </row>
    <row r="435" customFormat="false" ht="15" hidden="false" customHeight="false" outlineLevel="0" collapsed="false">
      <c r="F435" s="7" t="str">
        <f aca="false">IF(AND(D435&lt;&gt;"",E435&lt;&gt;""),D435*E435,"")</f>
        <v/>
      </c>
    </row>
    <row r="436" customFormat="false" ht="15" hidden="false" customHeight="false" outlineLevel="0" collapsed="false">
      <c r="F436" s="12" t="str">
        <f aca="false">IF(AND(D436&lt;&gt;"",E436&lt;&gt;""),D436*E436,"")</f>
        <v/>
      </c>
    </row>
    <row r="437" customFormat="false" ht="15" hidden="false" customHeight="false" outlineLevel="0" collapsed="false">
      <c r="F437" s="7" t="str">
        <f aca="false">IF(AND(D437&lt;&gt;"",E437&lt;&gt;""),D437*E437,"")</f>
        <v/>
      </c>
    </row>
    <row r="438" customFormat="false" ht="15" hidden="false" customHeight="false" outlineLevel="0" collapsed="false">
      <c r="F438" s="12" t="str">
        <f aca="false">IF(AND(D438&lt;&gt;"",E438&lt;&gt;""),D438*E438,"")</f>
        <v/>
      </c>
    </row>
    <row r="439" customFormat="false" ht="15" hidden="false" customHeight="false" outlineLevel="0" collapsed="false">
      <c r="F439" s="7" t="str">
        <f aca="false">IF(AND(D439&lt;&gt;"",E439&lt;&gt;""),D439*E439,"")</f>
        <v/>
      </c>
    </row>
    <row r="440" customFormat="false" ht="15" hidden="false" customHeight="false" outlineLevel="0" collapsed="false">
      <c r="F440" s="12" t="str">
        <f aca="false">IF(AND(D440&lt;&gt;"",E440&lt;&gt;""),D440*E440,"")</f>
        <v/>
      </c>
    </row>
    <row r="441" customFormat="false" ht="15" hidden="false" customHeight="false" outlineLevel="0" collapsed="false">
      <c r="F441" s="7" t="str">
        <f aca="false">IF(AND(D441&lt;&gt;"",E441&lt;&gt;""),D441*E441,"")</f>
        <v/>
      </c>
    </row>
    <row r="442" customFormat="false" ht="15" hidden="false" customHeight="false" outlineLevel="0" collapsed="false">
      <c r="F442" s="12" t="str">
        <f aca="false">IF(AND(D442&lt;&gt;"",E442&lt;&gt;""),D442*E442,"")</f>
        <v/>
      </c>
    </row>
    <row r="443" customFormat="false" ht="15" hidden="false" customHeight="false" outlineLevel="0" collapsed="false">
      <c r="F443" s="7" t="str">
        <f aca="false">IF(AND(D443&lt;&gt;"",E443&lt;&gt;""),D443*E443,"")</f>
        <v/>
      </c>
    </row>
    <row r="444" customFormat="false" ht="15" hidden="false" customHeight="false" outlineLevel="0" collapsed="false">
      <c r="F444" s="12" t="str">
        <f aca="false">IF(AND(D444&lt;&gt;"",E444&lt;&gt;""),D444*E444,"")</f>
        <v/>
      </c>
    </row>
    <row r="445" customFormat="false" ht="15" hidden="false" customHeight="false" outlineLevel="0" collapsed="false">
      <c r="F445" s="7" t="str">
        <f aca="false">IF(AND(D445&lt;&gt;"",E445&lt;&gt;""),D445*E445,"")</f>
        <v/>
      </c>
    </row>
    <row r="446" customFormat="false" ht="15" hidden="false" customHeight="false" outlineLevel="0" collapsed="false">
      <c r="F446" s="12" t="str">
        <f aca="false">IF(AND(D446&lt;&gt;"",E446&lt;&gt;""),D446*E446,"")</f>
        <v/>
      </c>
    </row>
    <row r="447" customFormat="false" ht="15" hidden="false" customHeight="false" outlineLevel="0" collapsed="false">
      <c r="F447" s="7" t="str">
        <f aca="false">IF(AND(D447&lt;&gt;"",E447&lt;&gt;""),D447*E447,"")</f>
        <v/>
      </c>
    </row>
    <row r="448" customFormat="false" ht="15" hidden="false" customHeight="false" outlineLevel="0" collapsed="false">
      <c r="F448" s="12" t="str">
        <f aca="false">IF(AND(D448&lt;&gt;"",E448&lt;&gt;""),D448*E448,"")</f>
        <v/>
      </c>
    </row>
    <row r="449" customFormat="false" ht="15" hidden="false" customHeight="false" outlineLevel="0" collapsed="false">
      <c r="F449" s="7" t="str">
        <f aca="false">IF(AND(D449&lt;&gt;"",E449&lt;&gt;""),D449*E449,"")</f>
        <v/>
      </c>
    </row>
    <row r="450" customFormat="false" ht="15" hidden="false" customHeight="false" outlineLevel="0" collapsed="false">
      <c r="F450" s="12" t="str">
        <f aca="false">IF(AND(D450&lt;&gt;"",E450&lt;&gt;""),D450*E450,"")</f>
        <v/>
      </c>
    </row>
    <row r="451" customFormat="false" ht="15" hidden="false" customHeight="false" outlineLevel="0" collapsed="false">
      <c r="F451" s="7" t="str">
        <f aca="false">IF(AND(D451&lt;&gt;"",E451&lt;&gt;""),D451*E451,"")</f>
        <v/>
      </c>
    </row>
    <row r="452" customFormat="false" ht="15" hidden="false" customHeight="false" outlineLevel="0" collapsed="false">
      <c r="F452" s="12" t="str">
        <f aca="false">IF(AND(D452&lt;&gt;"",E452&lt;&gt;""),D452*E452,"")</f>
        <v/>
      </c>
    </row>
    <row r="453" customFormat="false" ht="15" hidden="false" customHeight="false" outlineLevel="0" collapsed="false">
      <c r="F453" s="7" t="str">
        <f aca="false">IF(AND(D453&lt;&gt;"",E453&lt;&gt;""),D453*E453,"")</f>
        <v/>
      </c>
    </row>
    <row r="454" customFormat="false" ht="15" hidden="false" customHeight="false" outlineLevel="0" collapsed="false">
      <c r="F454" s="12" t="str">
        <f aca="false">IF(AND(D454&lt;&gt;"",E454&lt;&gt;""),D454*E454,"")</f>
        <v/>
      </c>
    </row>
    <row r="455" customFormat="false" ht="15" hidden="false" customHeight="false" outlineLevel="0" collapsed="false">
      <c r="F455" s="7" t="str">
        <f aca="false">IF(AND(D455&lt;&gt;"",E455&lt;&gt;""),D455*E455,"")</f>
        <v/>
      </c>
    </row>
    <row r="456" customFormat="false" ht="15" hidden="false" customHeight="false" outlineLevel="0" collapsed="false">
      <c r="F456" s="12" t="str">
        <f aca="false">IF(AND(D456&lt;&gt;"",E456&lt;&gt;""),D456*E456,"")</f>
        <v/>
      </c>
    </row>
    <row r="457" customFormat="false" ht="15" hidden="false" customHeight="false" outlineLevel="0" collapsed="false">
      <c r="F457" s="7" t="str">
        <f aca="false">IF(AND(D457&lt;&gt;"",E457&lt;&gt;""),D457*E457,"")</f>
        <v/>
      </c>
    </row>
    <row r="458" customFormat="false" ht="15" hidden="false" customHeight="false" outlineLevel="0" collapsed="false">
      <c r="F458" s="12" t="str">
        <f aca="false">IF(AND(D458&lt;&gt;"",E458&lt;&gt;""),D458*E458,"")</f>
        <v/>
      </c>
    </row>
    <row r="459" customFormat="false" ht="15" hidden="false" customHeight="false" outlineLevel="0" collapsed="false">
      <c r="F459" s="7" t="str">
        <f aca="false">IF(AND(D459&lt;&gt;"",E459&lt;&gt;""),D459*E459,"")</f>
        <v/>
      </c>
    </row>
    <row r="460" customFormat="false" ht="15" hidden="false" customHeight="false" outlineLevel="0" collapsed="false">
      <c r="F460" s="12" t="str">
        <f aca="false">IF(AND(D460&lt;&gt;"",E460&lt;&gt;""),D460*E460,"")</f>
        <v/>
      </c>
    </row>
    <row r="461" customFormat="false" ht="15" hidden="false" customHeight="false" outlineLevel="0" collapsed="false">
      <c r="F461" s="7" t="str">
        <f aca="false">IF(AND(D461&lt;&gt;"",E461&lt;&gt;""),D461*E461,"")</f>
        <v/>
      </c>
    </row>
    <row r="462" customFormat="false" ht="15" hidden="false" customHeight="false" outlineLevel="0" collapsed="false">
      <c r="F462" s="12" t="str">
        <f aca="false">IF(AND(D462&lt;&gt;"",E462&lt;&gt;""),D462*E462,"")</f>
        <v/>
      </c>
    </row>
    <row r="463" customFormat="false" ht="15" hidden="false" customHeight="false" outlineLevel="0" collapsed="false">
      <c r="F463" s="7" t="str">
        <f aca="false">IF(AND(D463&lt;&gt;"",E463&lt;&gt;""),D463*E463,"")</f>
        <v/>
      </c>
    </row>
    <row r="464" customFormat="false" ht="15" hidden="false" customHeight="false" outlineLevel="0" collapsed="false">
      <c r="F464" s="12" t="str">
        <f aca="false">IF(AND(D464&lt;&gt;"",E464&lt;&gt;""),D464*E464,"")</f>
        <v/>
      </c>
    </row>
    <row r="465" customFormat="false" ht="15" hidden="false" customHeight="false" outlineLevel="0" collapsed="false">
      <c r="F465" s="7" t="str">
        <f aca="false">IF(AND(D465&lt;&gt;"",E465&lt;&gt;""),D465*E465,"")</f>
        <v/>
      </c>
    </row>
    <row r="466" customFormat="false" ht="15" hidden="false" customHeight="false" outlineLevel="0" collapsed="false">
      <c r="F466" s="12" t="str">
        <f aca="false">IF(AND(D466&lt;&gt;"",E466&lt;&gt;""),D466*E466,"")</f>
        <v/>
      </c>
    </row>
    <row r="467" customFormat="false" ht="15" hidden="false" customHeight="false" outlineLevel="0" collapsed="false">
      <c r="F467" s="7" t="str">
        <f aca="false">IF(AND(D467&lt;&gt;"",E467&lt;&gt;""),D467*E467,"")</f>
        <v/>
      </c>
    </row>
    <row r="468" customFormat="false" ht="15" hidden="false" customHeight="false" outlineLevel="0" collapsed="false">
      <c r="F468" s="12" t="str">
        <f aca="false">IF(AND(D468&lt;&gt;"",E468&lt;&gt;""),D468*E468,"")</f>
        <v/>
      </c>
    </row>
    <row r="469" customFormat="false" ht="15" hidden="false" customHeight="false" outlineLevel="0" collapsed="false">
      <c r="F469" s="7" t="str">
        <f aca="false">IF(AND(D469&lt;&gt;"",E469&lt;&gt;""),D469*E469,"")</f>
        <v/>
      </c>
    </row>
    <row r="470" customFormat="false" ht="15" hidden="false" customHeight="false" outlineLevel="0" collapsed="false">
      <c r="F470" s="12" t="str">
        <f aca="false">IF(AND(D470&lt;&gt;"",E470&lt;&gt;""),D470*E470,"")</f>
        <v/>
      </c>
    </row>
    <row r="471" customFormat="false" ht="15" hidden="false" customHeight="false" outlineLevel="0" collapsed="false">
      <c r="F471" s="7" t="str">
        <f aca="false">IF(AND(D471&lt;&gt;"",E471&lt;&gt;""),D471*E471,"")</f>
        <v/>
      </c>
    </row>
    <row r="472" customFormat="false" ht="15" hidden="false" customHeight="false" outlineLevel="0" collapsed="false">
      <c r="F472" s="12" t="str">
        <f aca="false">IF(AND(D472&lt;&gt;"",E472&lt;&gt;""),D472*E472,"")</f>
        <v/>
      </c>
    </row>
    <row r="473" customFormat="false" ht="15" hidden="false" customHeight="false" outlineLevel="0" collapsed="false">
      <c r="F473" s="7" t="str">
        <f aca="false">IF(AND(D473&lt;&gt;"",E473&lt;&gt;""),D473*E473,"")</f>
        <v/>
      </c>
    </row>
    <row r="474" customFormat="false" ht="15" hidden="false" customHeight="false" outlineLevel="0" collapsed="false">
      <c r="F474" s="12" t="str">
        <f aca="false">IF(AND(D474&lt;&gt;"",E474&lt;&gt;""),D474*E474,"")</f>
        <v/>
      </c>
    </row>
    <row r="475" customFormat="false" ht="15" hidden="false" customHeight="false" outlineLevel="0" collapsed="false">
      <c r="F475" s="7" t="str">
        <f aca="false">IF(AND(D475&lt;&gt;"",E475&lt;&gt;""),D475*E475,"")</f>
        <v/>
      </c>
    </row>
    <row r="476" customFormat="false" ht="15" hidden="false" customHeight="false" outlineLevel="0" collapsed="false">
      <c r="F476" s="12" t="str">
        <f aca="false">IF(AND(D476&lt;&gt;"",E476&lt;&gt;""),D476*E476,"")</f>
        <v/>
      </c>
    </row>
    <row r="477" customFormat="false" ht="15" hidden="false" customHeight="false" outlineLevel="0" collapsed="false">
      <c r="F477" s="7" t="str">
        <f aca="false">IF(AND(D477&lt;&gt;"",E477&lt;&gt;""),D477*E477,"")</f>
        <v/>
      </c>
    </row>
    <row r="478" customFormat="false" ht="15" hidden="false" customHeight="false" outlineLevel="0" collapsed="false">
      <c r="F478" s="12" t="str">
        <f aca="false">IF(AND(D478&lt;&gt;"",E478&lt;&gt;""),D478*E478,"")</f>
        <v/>
      </c>
    </row>
    <row r="479" customFormat="false" ht="15" hidden="false" customHeight="false" outlineLevel="0" collapsed="false">
      <c r="F479" s="7" t="str">
        <f aca="false">IF(AND(D479&lt;&gt;"",E479&lt;&gt;""),D479*E479,"")</f>
        <v/>
      </c>
    </row>
    <row r="480" customFormat="false" ht="15" hidden="false" customHeight="false" outlineLevel="0" collapsed="false">
      <c r="F480" s="12" t="str">
        <f aca="false">IF(AND(D480&lt;&gt;"",E480&lt;&gt;""),D480*E480,"")</f>
        <v/>
      </c>
    </row>
    <row r="481" customFormat="false" ht="15" hidden="false" customHeight="false" outlineLevel="0" collapsed="false">
      <c r="F481" s="7" t="str">
        <f aca="false">IF(AND(D481&lt;&gt;"",E481&lt;&gt;""),D481*E481,"")</f>
        <v/>
      </c>
    </row>
    <row r="482" customFormat="false" ht="15" hidden="false" customHeight="false" outlineLevel="0" collapsed="false">
      <c r="F482" s="12" t="str">
        <f aca="false">IF(AND(D482&lt;&gt;"",E482&lt;&gt;""),D482*E482,"")</f>
        <v/>
      </c>
    </row>
    <row r="483" customFormat="false" ht="15" hidden="false" customHeight="false" outlineLevel="0" collapsed="false">
      <c r="F483" s="7" t="str">
        <f aca="false">IF(AND(D483&lt;&gt;"",E483&lt;&gt;""),D483*E483,"")</f>
        <v/>
      </c>
    </row>
    <row r="484" customFormat="false" ht="15" hidden="false" customHeight="false" outlineLevel="0" collapsed="false">
      <c r="F484" s="12" t="str">
        <f aca="false">IF(AND(D484&lt;&gt;"",E484&lt;&gt;""),D484*E484,"")</f>
        <v/>
      </c>
    </row>
    <row r="485" customFormat="false" ht="15" hidden="false" customHeight="false" outlineLevel="0" collapsed="false">
      <c r="F485" s="7" t="str">
        <f aca="false">IF(AND(D485&lt;&gt;"",E485&lt;&gt;""),D485*E485,"")</f>
        <v/>
      </c>
    </row>
    <row r="486" customFormat="false" ht="15" hidden="false" customHeight="false" outlineLevel="0" collapsed="false">
      <c r="F486" s="12" t="str">
        <f aca="false">IF(AND(D486&lt;&gt;"",E486&lt;&gt;""),D486*E486,"")</f>
        <v/>
      </c>
    </row>
    <row r="487" customFormat="false" ht="15" hidden="false" customHeight="false" outlineLevel="0" collapsed="false">
      <c r="F487" s="7" t="str">
        <f aca="false">IF(AND(D487&lt;&gt;"",E487&lt;&gt;""),D487*E487,"")</f>
        <v/>
      </c>
    </row>
    <row r="488" customFormat="false" ht="15" hidden="false" customHeight="false" outlineLevel="0" collapsed="false">
      <c r="F488" s="12" t="str">
        <f aca="false">IF(AND(D488&lt;&gt;"",E488&lt;&gt;""),D488*E488,"")</f>
        <v/>
      </c>
    </row>
    <row r="489" customFormat="false" ht="15" hidden="false" customHeight="false" outlineLevel="0" collapsed="false">
      <c r="F489" s="7" t="str">
        <f aca="false">IF(AND(D489&lt;&gt;"",E489&lt;&gt;""),D489*E489,"")</f>
        <v/>
      </c>
    </row>
    <row r="490" customFormat="false" ht="15" hidden="false" customHeight="false" outlineLevel="0" collapsed="false">
      <c r="F490" s="12" t="str">
        <f aca="false">IF(AND(D490&lt;&gt;"",E490&lt;&gt;""),D490*E490,"")</f>
        <v/>
      </c>
    </row>
    <row r="491" customFormat="false" ht="15" hidden="false" customHeight="false" outlineLevel="0" collapsed="false">
      <c r="F491" s="7" t="str">
        <f aca="false">IF(AND(D491&lt;&gt;"",E491&lt;&gt;""),D491*E491,"")</f>
        <v/>
      </c>
    </row>
    <row r="492" customFormat="false" ht="15" hidden="false" customHeight="false" outlineLevel="0" collapsed="false">
      <c r="F492" s="12" t="str">
        <f aca="false">IF(AND(D492&lt;&gt;"",E492&lt;&gt;""),D492*E492,"")</f>
        <v/>
      </c>
    </row>
    <row r="493" customFormat="false" ht="15" hidden="false" customHeight="false" outlineLevel="0" collapsed="false">
      <c r="F493" s="7" t="str">
        <f aca="false">IF(AND(D493&lt;&gt;"",E493&lt;&gt;""),D493*E493,"")</f>
        <v/>
      </c>
    </row>
    <row r="494" customFormat="false" ht="15" hidden="false" customHeight="false" outlineLevel="0" collapsed="false">
      <c r="F494" s="12" t="str">
        <f aca="false">IF(AND(D494&lt;&gt;"",E494&lt;&gt;""),D494*E494,"")</f>
        <v/>
      </c>
    </row>
    <row r="495" customFormat="false" ht="15" hidden="false" customHeight="false" outlineLevel="0" collapsed="false">
      <c r="F495" s="7" t="str">
        <f aca="false">IF(AND(D495&lt;&gt;"",E495&lt;&gt;""),D495*E495,"")</f>
        <v/>
      </c>
    </row>
    <row r="496" customFormat="false" ht="15" hidden="false" customHeight="false" outlineLevel="0" collapsed="false">
      <c r="F496" s="12" t="str">
        <f aca="false">IF(AND(D496&lt;&gt;"",E496&lt;&gt;""),D496*E496,"")</f>
        <v/>
      </c>
    </row>
    <row r="497" customFormat="false" ht="15" hidden="false" customHeight="false" outlineLevel="0" collapsed="false">
      <c r="F497" s="7" t="str">
        <f aca="false">IF(AND(D497&lt;&gt;"",E497&lt;&gt;""),D497*E497,"")</f>
        <v/>
      </c>
    </row>
    <row r="498" customFormat="false" ht="15" hidden="false" customHeight="false" outlineLevel="0" collapsed="false">
      <c r="F498" s="12" t="str">
        <f aca="false">IF(AND(D498&lt;&gt;"",E498&lt;&gt;""),D498*E498,"")</f>
        <v/>
      </c>
    </row>
    <row r="499" customFormat="false" ht="15" hidden="false" customHeight="false" outlineLevel="0" collapsed="false">
      <c r="F499" s="7" t="str">
        <f aca="false">IF(AND(D499&lt;&gt;"",E499&lt;&gt;""),D499*E499,"")</f>
        <v/>
      </c>
    </row>
    <row r="500" customFormat="false" ht="15" hidden="false" customHeight="false" outlineLevel="0" collapsed="false">
      <c r="F500" s="12" t="str">
        <f aca="false">IF(AND(D500&lt;&gt;"",E500&lt;&gt;""),D500*E500,"")</f>
        <v/>
      </c>
    </row>
    <row r="501" customFormat="false" ht="15" hidden="false" customHeight="false" outlineLevel="0" collapsed="false">
      <c r="F501" s="7" t="str">
        <f aca="false">IF(AND(D501&lt;&gt;"",E501&lt;&gt;""),D501*E501,"")</f>
        <v/>
      </c>
    </row>
    <row r="502" customFormat="false" ht="15" hidden="false" customHeight="false" outlineLevel="0" collapsed="false">
      <c r="F502" s="12" t="str">
        <f aca="false">IF(AND(D502&lt;&gt;"",E502&lt;&gt;""),D502*E502,"")</f>
        <v/>
      </c>
    </row>
    <row r="503" customFormat="false" ht="15" hidden="false" customHeight="false" outlineLevel="0" collapsed="false">
      <c r="F503" s="7" t="str">
        <f aca="false">IF(AND(D503&lt;&gt;"",E503&lt;&gt;""),D503*E503,"")</f>
        <v/>
      </c>
    </row>
    <row r="504" customFormat="false" ht="15" hidden="false" customHeight="false" outlineLevel="0" collapsed="false">
      <c r="F504" s="12" t="str">
        <f aca="false">IF(AND(D504&lt;&gt;"",E504&lt;&gt;""),D504*E504,"")</f>
        <v/>
      </c>
    </row>
    <row r="505" customFormat="false" ht="15" hidden="false" customHeight="false" outlineLevel="0" collapsed="false">
      <c r="F505" s="7" t="str">
        <f aca="false">IF(AND(D505&lt;&gt;"",E505&lt;&gt;""),D505*E505,"")</f>
        <v/>
      </c>
    </row>
    <row r="506" customFormat="false" ht="15" hidden="false" customHeight="false" outlineLevel="0" collapsed="false">
      <c r="F506" s="12" t="str">
        <f aca="false">IF(AND(D506&lt;&gt;"",E506&lt;&gt;""),D506*E506,"")</f>
        <v/>
      </c>
    </row>
    <row r="507" customFormat="false" ht="15" hidden="false" customHeight="false" outlineLevel="0" collapsed="false">
      <c r="F507" s="7" t="str">
        <f aca="false">IF(AND(D507&lt;&gt;"",E507&lt;&gt;""),D507*E507,"")</f>
        <v/>
      </c>
    </row>
    <row r="508" customFormat="false" ht="15" hidden="false" customHeight="false" outlineLevel="0" collapsed="false">
      <c r="F508" s="12" t="str">
        <f aca="false">IF(AND(D508&lt;&gt;"",E508&lt;&gt;""),D508*E508,"")</f>
        <v/>
      </c>
    </row>
    <row r="509" customFormat="false" ht="15" hidden="false" customHeight="false" outlineLevel="0" collapsed="false">
      <c r="F509" s="7" t="str">
        <f aca="false">IF(AND(D509&lt;&gt;"",E509&lt;&gt;""),D509*E509,"")</f>
        <v/>
      </c>
    </row>
    <row r="510" customFormat="false" ht="15" hidden="false" customHeight="false" outlineLevel="0" collapsed="false">
      <c r="F510" s="12" t="str">
        <f aca="false">IF(AND(D510&lt;&gt;"",E510&lt;&gt;""),D510*E510,"")</f>
        <v/>
      </c>
    </row>
    <row r="511" customFormat="false" ht="15" hidden="false" customHeight="false" outlineLevel="0" collapsed="false">
      <c r="F511" s="7" t="str">
        <f aca="false">IF(AND(D511&lt;&gt;"",E511&lt;&gt;""),D511*E511,"")</f>
        <v/>
      </c>
    </row>
    <row r="512" customFormat="false" ht="15" hidden="false" customHeight="false" outlineLevel="0" collapsed="false">
      <c r="F512" s="12" t="str">
        <f aca="false">IF(AND(D512&lt;&gt;"",E512&lt;&gt;""),D512*E512,"")</f>
        <v/>
      </c>
    </row>
    <row r="513" customFormat="false" ht="15" hidden="false" customHeight="false" outlineLevel="0" collapsed="false">
      <c r="F513" s="7" t="str">
        <f aca="false">IF(AND(D513&lt;&gt;"",E513&lt;&gt;""),D513*E513,"")</f>
        <v/>
      </c>
    </row>
    <row r="514" customFormat="false" ht="15" hidden="false" customHeight="false" outlineLevel="0" collapsed="false">
      <c r="F514" s="12" t="str">
        <f aca="false">IF(AND(D514&lt;&gt;"",E514&lt;&gt;""),D514*E514,"")</f>
        <v/>
      </c>
    </row>
    <row r="515" customFormat="false" ht="15" hidden="false" customHeight="false" outlineLevel="0" collapsed="false">
      <c r="F515" s="7" t="str">
        <f aca="false">IF(AND(D515&lt;&gt;"",E515&lt;&gt;""),D515*E515,"")</f>
        <v/>
      </c>
    </row>
    <row r="516" customFormat="false" ht="15" hidden="false" customHeight="false" outlineLevel="0" collapsed="false">
      <c r="F516" s="12" t="str">
        <f aca="false">IF(AND(D516&lt;&gt;"",E516&lt;&gt;""),D516*E516,"")</f>
        <v/>
      </c>
    </row>
    <row r="517" customFormat="false" ht="15" hidden="false" customHeight="false" outlineLevel="0" collapsed="false">
      <c r="F517" s="7" t="str">
        <f aca="false">IF(AND(D517&lt;&gt;"",E517&lt;&gt;""),D517*E517,"")</f>
        <v/>
      </c>
    </row>
    <row r="518" customFormat="false" ht="15" hidden="false" customHeight="false" outlineLevel="0" collapsed="false">
      <c r="F518" s="12" t="str">
        <f aca="false">IF(AND(D518&lt;&gt;"",E518&lt;&gt;""),D518*E518,"")</f>
        <v/>
      </c>
    </row>
    <row r="519" customFormat="false" ht="15" hidden="false" customHeight="false" outlineLevel="0" collapsed="false">
      <c r="F519" s="7" t="str">
        <f aca="false">IF(AND(D519&lt;&gt;"",E519&lt;&gt;""),D519*E519,"")</f>
        <v/>
      </c>
    </row>
    <row r="520" customFormat="false" ht="15" hidden="false" customHeight="false" outlineLevel="0" collapsed="false">
      <c r="F520" s="12" t="str">
        <f aca="false">IF(AND(D520&lt;&gt;"",E520&lt;&gt;""),D520*E520,"")</f>
        <v/>
      </c>
    </row>
    <row r="521" customFormat="false" ht="15" hidden="false" customHeight="false" outlineLevel="0" collapsed="false">
      <c r="F521" s="7" t="str">
        <f aca="false">IF(AND(D521&lt;&gt;"",E521&lt;&gt;""),D521*E521,"")</f>
        <v/>
      </c>
    </row>
    <row r="522" customFormat="false" ht="15" hidden="false" customHeight="false" outlineLevel="0" collapsed="false">
      <c r="F522" s="12" t="str">
        <f aca="false">IF(AND(D522&lt;&gt;"",E522&lt;&gt;""),D522*E522,"")</f>
        <v/>
      </c>
    </row>
    <row r="523" customFormat="false" ht="15" hidden="false" customHeight="false" outlineLevel="0" collapsed="false">
      <c r="F523" s="7" t="str">
        <f aca="false">IF(AND(D523&lt;&gt;"",E523&lt;&gt;""),D523*E523,"")</f>
        <v/>
      </c>
    </row>
    <row r="524" customFormat="false" ht="15" hidden="false" customHeight="false" outlineLevel="0" collapsed="false">
      <c r="F524" s="12" t="str">
        <f aca="false">IF(AND(D524&lt;&gt;"",E524&lt;&gt;""),D524*E524,"")</f>
        <v/>
      </c>
    </row>
    <row r="525" customFormat="false" ht="15" hidden="false" customHeight="false" outlineLevel="0" collapsed="false">
      <c r="F525" s="7" t="str">
        <f aca="false">IF(AND(D525&lt;&gt;"",E525&lt;&gt;""),D525*E525,"")</f>
        <v/>
      </c>
    </row>
    <row r="526" customFormat="false" ht="15" hidden="false" customHeight="false" outlineLevel="0" collapsed="false">
      <c r="F526" s="12" t="str">
        <f aca="false">IF(AND(D526&lt;&gt;"",E526&lt;&gt;""),D526*E526,"")</f>
        <v/>
      </c>
    </row>
    <row r="527" customFormat="false" ht="15" hidden="false" customHeight="false" outlineLevel="0" collapsed="false">
      <c r="F527" s="7" t="str">
        <f aca="false">IF(AND(D527&lt;&gt;"",E527&lt;&gt;""),D527*E527,"")</f>
        <v/>
      </c>
    </row>
    <row r="528" customFormat="false" ht="15" hidden="false" customHeight="false" outlineLevel="0" collapsed="false">
      <c r="F528" s="12" t="str">
        <f aca="false">IF(AND(D528&lt;&gt;"",E528&lt;&gt;""),D528*E528,"")</f>
        <v/>
      </c>
    </row>
    <row r="529" customFormat="false" ht="15" hidden="false" customHeight="false" outlineLevel="0" collapsed="false">
      <c r="F529" s="7" t="str">
        <f aca="false">IF(AND(D529&lt;&gt;"",E529&lt;&gt;""),D529*E529,"")</f>
        <v/>
      </c>
    </row>
    <row r="530" customFormat="false" ht="15" hidden="false" customHeight="false" outlineLevel="0" collapsed="false">
      <c r="F530" s="12" t="str">
        <f aca="false">IF(AND(D530&lt;&gt;"",E530&lt;&gt;""),D530*E530,"")</f>
        <v/>
      </c>
    </row>
    <row r="531" customFormat="false" ht="15" hidden="false" customHeight="false" outlineLevel="0" collapsed="false">
      <c r="F531" s="7" t="str">
        <f aca="false">IF(AND(D531&lt;&gt;"",E531&lt;&gt;""),D531*E531,"")</f>
        <v/>
      </c>
    </row>
    <row r="532" customFormat="false" ht="15" hidden="false" customHeight="false" outlineLevel="0" collapsed="false">
      <c r="F532" s="12" t="str">
        <f aca="false">IF(AND(D532&lt;&gt;"",E532&lt;&gt;""),D532*E532,"")</f>
        <v/>
      </c>
    </row>
    <row r="533" customFormat="false" ht="15" hidden="false" customHeight="false" outlineLevel="0" collapsed="false">
      <c r="F533" s="7" t="str">
        <f aca="false">IF(AND(D533&lt;&gt;"",E533&lt;&gt;""),D533*E533,"")</f>
        <v/>
      </c>
    </row>
    <row r="534" customFormat="false" ht="15" hidden="false" customHeight="false" outlineLevel="0" collapsed="false">
      <c r="F534" s="12" t="str">
        <f aca="false">IF(AND(D534&lt;&gt;"",E534&lt;&gt;""),D534*E534,"")</f>
        <v/>
      </c>
    </row>
    <row r="535" customFormat="false" ht="15" hidden="false" customHeight="false" outlineLevel="0" collapsed="false">
      <c r="F535" s="7" t="str">
        <f aca="false">IF(AND(D535&lt;&gt;"",E535&lt;&gt;""),D535*E535,"")</f>
        <v/>
      </c>
    </row>
    <row r="536" customFormat="false" ht="15" hidden="false" customHeight="false" outlineLevel="0" collapsed="false">
      <c r="F536" s="12" t="str">
        <f aca="false">IF(AND(D536&lt;&gt;"",E536&lt;&gt;""),D536*E536,"")</f>
        <v/>
      </c>
    </row>
    <row r="537" customFormat="false" ht="15" hidden="false" customHeight="false" outlineLevel="0" collapsed="false">
      <c r="F537" s="7" t="str">
        <f aca="false">IF(AND(D537&lt;&gt;"",E537&lt;&gt;""),D537*E537,"")</f>
        <v/>
      </c>
    </row>
    <row r="538" customFormat="false" ht="15" hidden="false" customHeight="false" outlineLevel="0" collapsed="false">
      <c r="F538" s="12" t="str">
        <f aca="false">IF(AND(D538&lt;&gt;"",E538&lt;&gt;""),D538*E538,"")</f>
        <v/>
      </c>
    </row>
    <row r="539" customFormat="false" ht="15" hidden="false" customHeight="false" outlineLevel="0" collapsed="false">
      <c r="F539" s="7" t="str">
        <f aca="false">IF(AND(D539&lt;&gt;"",E539&lt;&gt;""),D539*E539,"")</f>
        <v/>
      </c>
    </row>
    <row r="540" customFormat="false" ht="15" hidden="false" customHeight="false" outlineLevel="0" collapsed="false">
      <c r="F540" s="12" t="str">
        <f aca="false">IF(AND(D540&lt;&gt;"",E540&lt;&gt;""),D540*E540,"")</f>
        <v/>
      </c>
    </row>
    <row r="541" customFormat="false" ht="15" hidden="false" customHeight="false" outlineLevel="0" collapsed="false">
      <c r="F541" s="7" t="str">
        <f aca="false">IF(AND(D541&lt;&gt;"",E541&lt;&gt;""),D541*E541,"")</f>
        <v/>
      </c>
    </row>
    <row r="542" customFormat="false" ht="15" hidden="false" customHeight="false" outlineLevel="0" collapsed="false">
      <c r="F542" s="12" t="str">
        <f aca="false">IF(AND(D542&lt;&gt;"",E542&lt;&gt;""),D542*E542,"")</f>
        <v/>
      </c>
    </row>
    <row r="543" customFormat="false" ht="15" hidden="false" customHeight="false" outlineLevel="0" collapsed="false">
      <c r="F543" s="7" t="str">
        <f aca="false">IF(AND(D543&lt;&gt;"",E543&lt;&gt;""),D543*E543,"")</f>
        <v/>
      </c>
    </row>
    <row r="544" customFormat="false" ht="15" hidden="false" customHeight="false" outlineLevel="0" collapsed="false">
      <c r="F544" s="12" t="str">
        <f aca="false">IF(AND(D544&lt;&gt;"",E544&lt;&gt;""),D544*E544,"")</f>
        <v/>
      </c>
    </row>
    <row r="545" customFormat="false" ht="15" hidden="false" customHeight="false" outlineLevel="0" collapsed="false">
      <c r="F545" s="7" t="str">
        <f aca="false">IF(AND(D545&lt;&gt;"",E545&lt;&gt;""),D545*E545,"")</f>
        <v/>
      </c>
    </row>
    <row r="546" customFormat="false" ht="15" hidden="false" customHeight="false" outlineLevel="0" collapsed="false">
      <c r="F546" s="12" t="str">
        <f aca="false">IF(AND(D546&lt;&gt;"",E546&lt;&gt;""),D546*E546,"")</f>
        <v/>
      </c>
    </row>
    <row r="547" customFormat="false" ht="15" hidden="false" customHeight="false" outlineLevel="0" collapsed="false">
      <c r="F547" s="7" t="str">
        <f aca="false">IF(AND(D547&lt;&gt;"",E547&lt;&gt;""),D547*E547,"")</f>
        <v/>
      </c>
    </row>
    <row r="548" customFormat="false" ht="15" hidden="false" customHeight="false" outlineLevel="0" collapsed="false">
      <c r="F548" s="12" t="str">
        <f aca="false">IF(AND(D548&lt;&gt;"",E548&lt;&gt;""),D548*E548,"")</f>
        <v/>
      </c>
    </row>
    <row r="549" customFormat="false" ht="15" hidden="false" customHeight="false" outlineLevel="0" collapsed="false">
      <c r="F549" s="7" t="str">
        <f aca="false">IF(AND(D549&lt;&gt;"",E549&lt;&gt;""),D549*E549,"")</f>
        <v/>
      </c>
    </row>
    <row r="550" customFormat="false" ht="15" hidden="false" customHeight="false" outlineLevel="0" collapsed="false">
      <c r="F550" s="12" t="str">
        <f aca="false">IF(AND(D550&lt;&gt;"",E550&lt;&gt;""),D550*E550,"")</f>
        <v/>
      </c>
    </row>
    <row r="551" customFormat="false" ht="15" hidden="false" customHeight="false" outlineLevel="0" collapsed="false">
      <c r="F551" s="7" t="str">
        <f aca="false">IF(AND(D551&lt;&gt;"",E551&lt;&gt;""),D551*E551,"")</f>
        <v/>
      </c>
    </row>
    <row r="552" customFormat="false" ht="15" hidden="false" customHeight="false" outlineLevel="0" collapsed="false">
      <c r="F552" s="12" t="str">
        <f aca="false">IF(AND(D552&lt;&gt;"",E552&lt;&gt;""),D552*E552,"")</f>
        <v/>
      </c>
    </row>
    <row r="553" customFormat="false" ht="15" hidden="false" customHeight="false" outlineLevel="0" collapsed="false">
      <c r="F553" s="7" t="str">
        <f aca="false">IF(AND(D553&lt;&gt;"",E553&lt;&gt;""),D553*E553,"")</f>
        <v/>
      </c>
    </row>
    <row r="554" customFormat="false" ht="15" hidden="false" customHeight="false" outlineLevel="0" collapsed="false">
      <c r="F554" s="12" t="str">
        <f aca="false">IF(AND(D554&lt;&gt;"",E554&lt;&gt;""),D554*E554,"")</f>
        <v/>
      </c>
    </row>
    <row r="555" customFormat="false" ht="15" hidden="false" customHeight="false" outlineLevel="0" collapsed="false">
      <c r="F555" s="7" t="str">
        <f aca="false">IF(AND(D555&lt;&gt;"",E555&lt;&gt;""),D555*E555,"")</f>
        <v/>
      </c>
    </row>
    <row r="556" customFormat="false" ht="15" hidden="false" customHeight="false" outlineLevel="0" collapsed="false">
      <c r="F556" s="12" t="str">
        <f aca="false">IF(AND(D556&lt;&gt;"",E556&lt;&gt;""),D556*E556,"")</f>
        <v/>
      </c>
    </row>
    <row r="557" customFormat="false" ht="15" hidden="false" customHeight="false" outlineLevel="0" collapsed="false">
      <c r="F557" s="7" t="str">
        <f aca="false">IF(AND(D557&lt;&gt;"",E557&lt;&gt;""),D557*E557,"")</f>
        <v/>
      </c>
    </row>
    <row r="558" customFormat="false" ht="15" hidden="false" customHeight="false" outlineLevel="0" collapsed="false">
      <c r="F558" s="12" t="str">
        <f aca="false">IF(AND(D558&lt;&gt;"",E558&lt;&gt;""),D558*E558,"")</f>
        <v/>
      </c>
    </row>
    <row r="559" customFormat="false" ht="15" hidden="false" customHeight="false" outlineLevel="0" collapsed="false">
      <c r="F559" s="7" t="str">
        <f aca="false">IF(AND(D559&lt;&gt;"",E559&lt;&gt;""),D559*E559,"")</f>
        <v/>
      </c>
    </row>
    <row r="560" customFormat="false" ht="15" hidden="false" customHeight="false" outlineLevel="0" collapsed="false">
      <c r="F560" s="12" t="str">
        <f aca="false">IF(AND(D560&lt;&gt;"",E560&lt;&gt;""),D560*E560,"")</f>
        <v/>
      </c>
    </row>
    <row r="561" customFormat="false" ht="15" hidden="false" customHeight="false" outlineLevel="0" collapsed="false">
      <c r="F561" s="7" t="str">
        <f aca="false">IF(AND(D561&lt;&gt;"",E561&lt;&gt;""),D561*E561,"")</f>
        <v/>
      </c>
    </row>
    <row r="562" customFormat="false" ht="15" hidden="false" customHeight="false" outlineLevel="0" collapsed="false">
      <c r="F562" s="12" t="str">
        <f aca="false">IF(AND(D562&lt;&gt;"",E562&lt;&gt;""),D562*E562,"")</f>
        <v/>
      </c>
    </row>
    <row r="563" customFormat="false" ht="15" hidden="false" customHeight="false" outlineLevel="0" collapsed="false">
      <c r="F563" s="7" t="str">
        <f aca="false">IF(AND(D563&lt;&gt;"",E563&lt;&gt;""),D563*E563,"")</f>
        <v/>
      </c>
    </row>
    <row r="564" customFormat="false" ht="15" hidden="false" customHeight="false" outlineLevel="0" collapsed="false">
      <c r="F564" s="12" t="str">
        <f aca="false">IF(AND(D564&lt;&gt;"",E564&lt;&gt;""),D564*E564,"")</f>
        <v/>
      </c>
    </row>
    <row r="565" customFormat="false" ht="15" hidden="false" customHeight="false" outlineLevel="0" collapsed="false">
      <c r="F565" s="7" t="str">
        <f aca="false">IF(AND(D565&lt;&gt;"",E565&lt;&gt;""),D565*E565,"")</f>
        <v/>
      </c>
    </row>
    <row r="566" customFormat="false" ht="15" hidden="false" customHeight="false" outlineLevel="0" collapsed="false">
      <c r="F566" s="12" t="str">
        <f aca="false">IF(AND(D566&lt;&gt;"",E566&lt;&gt;""),D566*E566,"")</f>
        <v/>
      </c>
    </row>
    <row r="567" customFormat="false" ht="15" hidden="false" customHeight="false" outlineLevel="0" collapsed="false">
      <c r="F567" s="7" t="str">
        <f aca="false">IF(AND(D567&lt;&gt;"",E567&lt;&gt;""),D567*E567,"")</f>
        <v/>
      </c>
    </row>
    <row r="568" customFormat="false" ht="15" hidden="false" customHeight="false" outlineLevel="0" collapsed="false">
      <c r="F568" s="12" t="str">
        <f aca="false">IF(AND(D568&lt;&gt;"",E568&lt;&gt;""),D568*E568,"")</f>
        <v/>
      </c>
    </row>
    <row r="569" customFormat="false" ht="15" hidden="false" customHeight="false" outlineLevel="0" collapsed="false">
      <c r="F569" s="7" t="str">
        <f aca="false">IF(AND(D569&lt;&gt;"",E569&lt;&gt;""),D569*E569,"")</f>
        <v/>
      </c>
    </row>
    <row r="570" customFormat="false" ht="15" hidden="false" customHeight="false" outlineLevel="0" collapsed="false">
      <c r="F570" s="12" t="str">
        <f aca="false">IF(AND(D570&lt;&gt;"",E570&lt;&gt;""),D570*E570,"")</f>
        <v/>
      </c>
    </row>
    <row r="571" customFormat="false" ht="15" hidden="false" customHeight="false" outlineLevel="0" collapsed="false">
      <c r="F571" s="7" t="str">
        <f aca="false">IF(AND(D571&lt;&gt;"",E571&lt;&gt;""),D571*E571,"")</f>
        <v/>
      </c>
    </row>
    <row r="572" customFormat="false" ht="15" hidden="false" customHeight="false" outlineLevel="0" collapsed="false">
      <c r="F572" s="12" t="str">
        <f aca="false">IF(AND(D572&lt;&gt;"",E572&lt;&gt;""),D572*E572,"")</f>
        <v/>
      </c>
    </row>
    <row r="573" customFormat="false" ht="15" hidden="false" customHeight="false" outlineLevel="0" collapsed="false">
      <c r="F573" s="7" t="str">
        <f aca="false">IF(AND(D573&lt;&gt;"",E573&lt;&gt;""),D573*E573,"")</f>
        <v/>
      </c>
    </row>
    <row r="574" customFormat="false" ht="15" hidden="false" customHeight="false" outlineLevel="0" collapsed="false">
      <c r="F574" s="12" t="str">
        <f aca="false">IF(AND(D574&lt;&gt;"",E574&lt;&gt;""),D574*E574,"")</f>
        <v/>
      </c>
    </row>
    <row r="575" customFormat="false" ht="15" hidden="false" customHeight="false" outlineLevel="0" collapsed="false">
      <c r="F575" s="7" t="str">
        <f aca="false">IF(AND(D575&lt;&gt;"",E575&lt;&gt;""),D575*E575,"")</f>
        <v/>
      </c>
    </row>
    <row r="576" customFormat="false" ht="15" hidden="false" customHeight="false" outlineLevel="0" collapsed="false">
      <c r="F576" s="12" t="str">
        <f aca="false">IF(AND(D576&lt;&gt;"",E576&lt;&gt;""),D576*E576,"")</f>
        <v/>
      </c>
    </row>
    <row r="577" customFormat="false" ht="15" hidden="false" customHeight="false" outlineLevel="0" collapsed="false">
      <c r="F577" s="7" t="str">
        <f aca="false">IF(AND(D577&lt;&gt;"",E577&lt;&gt;""),D577*E577,"")</f>
        <v/>
      </c>
    </row>
    <row r="578" customFormat="false" ht="15" hidden="false" customHeight="false" outlineLevel="0" collapsed="false">
      <c r="F578" s="12" t="str">
        <f aca="false">IF(AND(D578&lt;&gt;"",E578&lt;&gt;""),D578*E578,"")</f>
        <v/>
      </c>
    </row>
    <row r="579" customFormat="false" ht="15" hidden="false" customHeight="false" outlineLevel="0" collapsed="false">
      <c r="F579" s="7" t="str">
        <f aca="false">IF(AND(D579&lt;&gt;"",E579&lt;&gt;""),D579*E579,"")</f>
        <v/>
      </c>
    </row>
    <row r="580" customFormat="false" ht="15" hidden="false" customHeight="false" outlineLevel="0" collapsed="false">
      <c r="F580" s="12" t="str">
        <f aca="false">IF(AND(D580&lt;&gt;"",E580&lt;&gt;""),D580*E580,"")</f>
        <v/>
      </c>
    </row>
    <row r="581" customFormat="false" ht="15" hidden="false" customHeight="false" outlineLevel="0" collapsed="false">
      <c r="F581" s="7" t="str">
        <f aca="false">IF(AND(D581&lt;&gt;"",E581&lt;&gt;""),D581*E581,"")</f>
        <v/>
      </c>
    </row>
    <row r="582" customFormat="false" ht="15" hidden="false" customHeight="false" outlineLevel="0" collapsed="false">
      <c r="F582" s="12" t="str">
        <f aca="false">IF(AND(D582&lt;&gt;"",E582&lt;&gt;""),D582*E582,"")</f>
        <v/>
      </c>
    </row>
    <row r="583" customFormat="false" ht="15" hidden="false" customHeight="false" outlineLevel="0" collapsed="false">
      <c r="F583" s="7" t="str">
        <f aca="false">IF(AND(D583&lt;&gt;"",E583&lt;&gt;""),D583*E583,"")</f>
        <v/>
      </c>
    </row>
    <row r="584" customFormat="false" ht="15" hidden="false" customHeight="false" outlineLevel="0" collapsed="false">
      <c r="F584" s="12" t="str">
        <f aca="false">IF(AND(D584&lt;&gt;"",E584&lt;&gt;""),D584*E584,"")</f>
        <v/>
      </c>
    </row>
    <row r="585" customFormat="false" ht="15" hidden="false" customHeight="false" outlineLevel="0" collapsed="false">
      <c r="F585" s="7" t="str">
        <f aca="false">IF(AND(D585&lt;&gt;"",E585&lt;&gt;""),D585*E585,"")</f>
        <v/>
      </c>
    </row>
    <row r="586" customFormat="false" ht="15" hidden="false" customHeight="false" outlineLevel="0" collapsed="false">
      <c r="F586" s="12" t="str">
        <f aca="false">IF(AND(D586&lt;&gt;"",E586&lt;&gt;""),D586*E586,"")</f>
        <v/>
      </c>
    </row>
    <row r="587" customFormat="false" ht="15" hidden="false" customHeight="false" outlineLevel="0" collapsed="false">
      <c r="F587" s="7" t="str">
        <f aca="false">IF(AND(D587&lt;&gt;"",E587&lt;&gt;""),D587*E587,"")</f>
        <v/>
      </c>
    </row>
    <row r="588" customFormat="false" ht="15" hidden="false" customHeight="false" outlineLevel="0" collapsed="false">
      <c r="F588" s="12" t="str">
        <f aca="false">IF(AND(D588&lt;&gt;"",E588&lt;&gt;""),D588*E588,"")</f>
        <v/>
      </c>
    </row>
    <row r="589" customFormat="false" ht="15" hidden="false" customHeight="false" outlineLevel="0" collapsed="false">
      <c r="F589" s="7" t="str">
        <f aca="false">IF(AND(D589&lt;&gt;"",E589&lt;&gt;""),D589*E589,"")</f>
        <v/>
      </c>
    </row>
    <row r="590" customFormat="false" ht="15" hidden="false" customHeight="false" outlineLevel="0" collapsed="false">
      <c r="F590" s="12" t="str">
        <f aca="false">IF(AND(D590&lt;&gt;"",E590&lt;&gt;""),D590*E590,"")</f>
        <v/>
      </c>
    </row>
    <row r="591" customFormat="false" ht="15" hidden="false" customHeight="false" outlineLevel="0" collapsed="false">
      <c r="F591" s="7" t="str">
        <f aca="false">IF(AND(D591&lt;&gt;"",E591&lt;&gt;""),D591*E591,"")</f>
        <v/>
      </c>
    </row>
    <row r="592" customFormat="false" ht="15" hidden="false" customHeight="false" outlineLevel="0" collapsed="false">
      <c r="F592" s="12" t="str">
        <f aca="false">IF(AND(D592&lt;&gt;"",E592&lt;&gt;""),D592*E592,"")</f>
        <v/>
      </c>
    </row>
    <row r="593" customFormat="false" ht="15" hidden="false" customHeight="false" outlineLevel="0" collapsed="false">
      <c r="F593" s="7" t="str">
        <f aca="false">IF(AND(D593&lt;&gt;"",E593&lt;&gt;""),D593*E593,"")</f>
        <v/>
      </c>
    </row>
    <row r="594" customFormat="false" ht="15" hidden="false" customHeight="false" outlineLevel="0" collapsed="false">
      <c r="F594" s="12" t="str">
        <f aca="false">IF(AND(D594&lt;&gt;"",E594&lt;&gt;""),D594*E594,"")</f>
        <v/>
      </c>
    </row>
    <row r="595" customFormat="false" ht="15" hidden="false" customHeight="false" outlineLevel="0" collapsed="false">
      <c r="F595" s="7" t="str">
        <f aca="false">IF(AND(D595&lt;&gt;"",E595&lt;&gt;""),D595*E595,"")</f>
        <v/>
      </c>
    </row>
    <row r="596" customFormat="false" ht="15" hidden="false" customHeight="false" outlineLevel="0" collapsed="false">
      <c r="F596" s="12" t="str">
        <f aca="false">IF(AND(D596&lt;&gt;"",E596&lt;&gt;""),D596*E596,"")</f>
        <v/>
      </c>
    </row>
    <row r="597" customFormat="false" ht="15" hidden="false" customHeight="false" outlineLevel="0" collapsed="false">
      <c r="F597" s="7" t="str">
        <f aca="false">IF(AND(D597&lt;&gt;"",E597&lt;&gt;""),D597*E597,"")</f>
        <v/>
      </c>
    </row>
    <row r="598" customFormat="false" ht="15" hidden="false" customHeight="false" outlineLevel="0" collapsed="false">
      <c r="F598" s="12" t="str">
        <f aca="false">IF(AND(D598&lt;&gt;"",E598&lt;&gt;""),D598*E598,"")</f>
        <v/>
      </c>
    </row>
    <row r="599" customFormat="false" ht="15" hidden="false" customHeight="false" outlineLevel="0" collapsed="false">
      <c r="F599" s="7" t="str">
        <f aca="false">IF(AND(D599&lt;&gt;"",E599&lt;&gt;""),D599*E599,"")</f>
        <v/>
      </c>
    </row>
    <row r="600" customFormat="false" ht="15" hidden="false" customHeight="false" outlineLevel="0" collapsed="false">
      <c r="F600" s="12" t="str">
        <f aca="false">IF(AND(D600&lt;&gt;"",E600&lt;&gt;""),D600*E600,"")</f>
        <v/>
      </c>
    </row>
    <row r="601" customFormat="false" ht="15" hidden="false" customHeight="false" outlineLevel="0" collapsed="false">
      <c r="F601" s="7" t="str">
        <f aca="false">IF(AND(D601&lt;&gt;"",E601&lt;&gt;""),D601*E601,"")</f>
        <v/>
      </c>
    </row>
    <row r="602" customFormat="false" ht="15" hidden="false" customHeight="false" outlineLevel="0" collapsed="false">
      <c r="F602" s="12" t="str">
        <f aca="false">IF(AND(D602&lt;&gt;"",E602&lt;&gt;""),D602*E602,"")</f>
        <v/>
      </c>
    </row>
    <row r="603" customFormat="false" ht="15" hidden="false" customHeight="false" outlineLevel="0" collapsed="false">
      <c r="F603" s="7" t="str">
        <f aca="false">IF(AND(D603&lt;&gt;"",E603&lt;&gt;""),D603*E603,"")</f>
        <v/>
      </c>
    </row>
    <row r="604" customFormat="false" ht="15" hidden="false" customHeight="false" outlineLevel="0" collapsed="false">
      <c r="F604" s="12" t="str">
        <f aca="false">IF(AND(D604&lt;&gt;"",E604&lt;&gt;""),D604*E604,"")</f>
        <v/>
      </c>
    </row>
    <row r="605" customFormat="false" ht="15" hidden="false" customHeight="false" outlineLevel="0" collapsed="false">
      <c r="F605" s="7" t="str">
        <f aca="false">IF(AND(D605&lt;&gt;"",E605&lt;&gt;""),D605*E605,"")</f>
        <v/>
      </c>
    </row>
    <row r="606" customFormat="false" ht="15" hidden="false" customHeight="false" outlineLevel="0" collapsed="false">
      <c r="F606" s="12" t="str">
        <f aca="false">IF(AND(D606&lt;&gt;"",E606&lt;&gt;""),D606*E606,"")</f>
        <v/>
      </c>
    </row>
    <row r="607" customFormat="false" ht="15" hidden="false" customHeight="false" outlineLevel="0" collapsed="false">
      <c r="F607" s="7" t="str">
        <f aca="false">IF(AND(D607&lt;&gt;"",E607&lt;&gt;""),D607*E607,"")</f>
        <v/>
      </c>
    </row>
    <row r="608" customFormat="false" ht="15" hidden="false" customHeight="false" outlineLevel="0" collapsed="false">
      <c r="F608" s="12" t="str">
        <f aca="false">IF(AND(D608&lt;&gt;"",E608&lt;&gt;""),D608*E608,"")</f>
        <v/>
      </c>
    </row>
    <row r="609" customFormat="false" ht="15" hidden="false" customHeight="false" outlineLevel="0" collapsed="false">
      <c r="F609" s="7" t="str">
        <f aca="false">IF(AND(D609&lt;&gt;"",E609&lt;&gt;""),D609*E609,"")</f>
        <v/>
      </c>
    </row>
    <row r="610" customFormat="false" ht="15" hidden="false" customHeight="false" outlineLevel="0" collapsed="false">
      <c r="F610" s="12" t="str">
        <f aca="false">IF(AND(D610&lt;&gt;"",E610&lt;&gt;""),D610*E610,"")</f>
        <v/>
      </c>
    </row>
    <row r="611" customFormat="false" ht="15" hidden="false" customHeight="false" outlineLevel="0" collapsed="false">
      <c r="F611" s="7" t="str">
        <f aca="false">IF(AND(D611&lt;&gt;"",E611&lt;&gt;""),D611*E611,"")</f>
        <v/>
      </c>
    </row>
    <row r="612" customFormat="false" ht="15" hidden="false" customHeight="false" outlineLevel="0" collapsed="false">
      <c r="F612" s="12" t="str">
        <f aca="false">IF(AND(D612&lt;&gt;"",E612&lt;&gt;""),D612*E612,"")</f>
        <v/>
      </c>
    </row>
    <row r="613" customFormat="false" ht="15" hidden="false" customHeight="false" outlineLevel="0" collapsed="false">
      <c r="F613" s="7" t="str">
        <f aca="false">IF(AND(D613&lt;&gt;"",E613&lt;&gt;""),D613*E613,"")</f>
        <v/>
      </c>
    </row>
    <row r="614" customFormat="false" ht="15" hidden="false" customHeight="false" outlineLevel="0" collapsed="false">
      <c r="F614" s="12" t="str">
        <f aca="false">IF(AND(D614&lt;&gt;"",E614&lt;&gt;""),D614*E614,"")</f>
        <v/>
      </c>
    </row>
    <row r="615" customFormat="false" ht="15" hidden="false" customHeight="false" outlineLevel="0" collapsed="false">
      <c r="F615" s="7" t="str">
        <f aca="false">IF(AND(D615&lt;&gt;"",E615&lt;&gt;""),D615*E615,"")</f>
        <v/>
      </c>
    </row>
    <row r="616" customFormat="false" ht="15" hidden="false" customHeight="false" outlineLevel="0" collapsed="false">
      <c r="F616" s="12" t="str">
        <f aca="false">IF(AND(D616&lt;&gt;"",E616&lt;&gt;""),D616*E616,"")</f>
        <v/>
      </c>
    </row>
    <row r="617" customFormat="false" ht="15" hidden="false" customHeight="false" outlineLevel="0" collapsed="false">
      <c r="F617" s="7" t="str">
        <f aca="false">IF(AND(D617&lt;&gt;"",E617&lt;&gt;""),D617*E617,"")</f>
        <v/>
      </c>
    </row>
    <row r="618" customFormat="false" ht="15" hidden="false" customHeight="false" outlineLevel="0" collapsed="false">
      <c r="F618" s="12" t="str">
        <f aca="false">IF(AND(D618&lt;&gt;"",E618&lt;&gt;""),D618*E618,"")</f>
        <v/>
      </c>
    </row>
    <row r="619" customFormat="false" ht="15" hidden="false" customHeight="false" outlineLevel="0" collapsed="false">
      <c r="F619" s="7" t="str">
        <f aca="false">IF(AND(D619&lt;&gt;"",E619&lt;&gt;""),D619*E619,"")</f>
        <v/>
      </c>
    </row>
    <row r="620" customFormat="false" ht="15" hidden="false" customHeight="false" outlineLevel="0" collapsed="false">
      <c r="F620" s="12" t="str">
        <f aca="false">IF(AND(D620&lt;&gt;"",E620&lt;&gt;""),D620*E620,"")</f>
        <v/>
      </c>
    </row>
    <row r="621" customFormat="false" ht="15" hidden="false" customHeight="false" outlineLevel="0" collapsed="false">
      <c r="F621" s="7" t="str">
        <f aca="false">IF(AND(D621&lt;&gt;"",E621&lt;&gt;""),D621*E621,"")</f>
        <v/>
      </c>
    </row>
    <row r="622" customFormat="false" ht="15" hidden="false" customHeight="false" outlineLevel="0" collapsed="false">
      <c r="F622" s="12" t="str">
        <f aca="false">IF(AND(D622&lt;&gt;"",E622&lt;&gt;""),D622*E622,"")</f>
        <v/>
      </c>
    </row>
    <row r="623" customFormat="false" ht="15" hidden="false" customHeight="false" outlineLevel="0" collapsed="false">
      <c r="F623" s="7" t="str">
        <f aca="false">IF(AND(D623&lt;&gt;"",E623&lt;&gt;""),D623*E623,"")</f>
        <v/>
      </c>
    </row>
    <row r="624" customFormat="false" ht="15" hidden="false" customHeight="false" outlineLevel="0" collapsed="false">
      <c r="F624" s="12" t="str">
        <f aca="false">IF(AND(D624&lt;&gt;"",E624&lt;&gt;""),D624*E624,"")</f>
        <v/>
      </c>
    </row>
    <row r="625" customFormat="false" ht="15" hidden="false" customHeight="false" outlineLevel="0" collapsed="false">
      <c r="F625" s="7" t="str">
        <f aca="false">IF(AND(D625&lt;&gt;"",E625&lt;&gt;""),D625*E625,"")</f>
        <v/>
      </c>
    </row>
    <row r="626" customFormat="false" ht="15" hidden="false" customHeight="false" outlineLevel="0" collapsed="false">
      <c r="F626" s="12" t="str">
        <f aca="false">IF(AND(D626&lt;&gt;"",E626&lt;&gt;""),D626*E626,"")</f>
        <v/>
      </c>
    </row>
    <row r="627" customFormat="false" ht="15" hidden="false" customHeight="false" outlineLevel="0" collapsed="false">
      <c r="F627" s="7" t="str">
        <f aca="false">IF(AND(D627&lt;&gt;"",E627&lt;&gt;""),D627*E627,"")</f>
        <v/>
      </c>
    </row>
    <row r="628" customFormat="false" ht="15" hidden="false" customHeight="false" outlineLevel="0" collapsed="false">
      <c r="F628" s="12" t="str">
        <f aca="false">IF(AND(D628&lt;&gt;"",E628&lt;&gt;""),D628*E628,"")</f>
        <v/>
      </c>
    </row>
    <row r="629" customFormat="false" ht="15" hidden="false" customHeight="false" outlineLevel="0" collapsed="false">
      <c r="F629" s="7" t="str">
        <f aca="false">IF(AND(D629&lt;&gt;"",E629&lt;&gt;""),D629*E629,"")</f>
        <v/>
      </c>
    </row>
    <row r="630" customFormat="false" ht="15" hidden="false" customHeight="false" outlineLevel="0" collapsed="false">
      <c r="F630" s="12" t="str">
        <f aca="false">IF(AND(D630&lt;&gt;"",E630&lt;&gt;""),D630*E630,"")</f>
        <v/>
      </c>
    </row>
    <row r="631" customFormat="false" ht="15" hidden="false" customHeight="false" outlineLevel="0" collapsed="false">
      <c r="F631" s="7" t="str">
        <f aca="false">IF(AND(D631&lt;&gt;"",E631&lt;&gt;""),D631*E631,"")</f>
        <v/>
      </c>
    </row>
    <row r="632" customFormat="false" ht="15" hidden="false" customHeight="false" outlineLevel="0" collapsed="false">
      <c r="F632" s="12" t="str">
        <f aca="false">IF(AND(D632&lt;&gt;"",E632&lt;&gt;""),D632*E632,"")</f>
        <v/>
      </c>
    </row>
    <row r="633" customFormat="false" ht="15" hidden="false" customHeight="false" outlineLevel="0" collapsed="false">
      <c r="F633" s="7" t="str">
        <f aca="false">IF(AND(D633&lt;&gt;"",E633&lt;&gt;""),D633*E633,"")</f>
        <v/>
      </c>
    </row>
    <row r="634" customFormat="false" ht="15" hidden="false" customHeight="false" outlineLevel="0" collapsed="false">
      <c r="F634" s="12" t="str">
        <f aca="false">IF(AND(D634&lt;&gt;"",E634&lt;&gt;""),D634*E634,"")</f>
        <v/>
      </c>
    </row>
    <row r="635" customFormat="false" ht="15" hidden="false" customHeight="false" outlineLevel="0" collapsed="false">
      <c r="F635" s="7" t="str">
        <f aca="false">IF(AND(D635&lt;&gt;"",E635&lt;&gt;""),D635*E635,"")</f>
        <v/>
      </c>
    </row>
    <row r="636" customFormat="false" ht="15" hidden="false" customHeight="false" outlineLevel="0" collapsed="false">
      <c r="F636" s="12" t="str">
        <f aca="false">IF(AND(D636&lt;&gt;"",E636&lt;&gt;""),D636*E636,"")</f>
        <v/>
      </c>
    </row>
    <row r="637" customFormat="false" ht="15" hidden="false" customHeight="false" outlineLevel="0" collapsed="false">
      <c r="F637" s="7" t="str">
        <f aca="false">IF(AND(D637&lt;&gt;"",E637&lt;&gt;""),D637*E637,"")</f>
        <v/>
      </c>
    </row>
    <row r="638" customFormat="false" ht="15" hidden="false" customHeight="false" outlineLevel="0" collapsed="false">
      <c r="F638" s="12" t="str">
        <f aca="false">IF(AND(D638&lt;&gt;"",E638&lt;&gt;""),D638*E638,"")</f>
        <v/>
      </c>
    </row>
    <row r="639" customFormat="false" ht="15" hidden="false" customHeight="false" outlineLevel="0" collapsed="false">
      <c r="F639" s="7" t="str">
        <f aca="false">IF(AND(D639&lt;&gt;"",E639&lt;&gt;""),D639*E639,"")</f>
        <v/>
      </c>
    </row>
    <row r="640" customFormat="false" ht="15" hidden="false" customHeight="false" outlineLevel="0" collapsed="false">
      <c r="F640" s="12" t="str">
        <f aca="false">IF(AND(D640&lt;&gt;"",E640&lt;&gt;""),D640*E640,"")</f>
        <v/>
      </c>
    </row>
    <row r="641" customFormat="false" ht="15" hidden="false" customHeight="false" outlineLevel="0" collapsed="false">
      <c r="F641" s="7" t="str">
        <f aca="false">IF(AND(D641&lt;&gt;"",E641&lt;&gt;""),D641*E641,"")</f>
        <v/>
      </c>
    </row>
    <row r="642" customFormat="false" ht="15" hidden="false" customHeight="false" outlineLevel="0" collapsed="false">
      <c r="F642" s="12" t="str">
        <f aca="false">IF(AND(D642&lt;&gt;"",E642&lt;&gt;""),D642*E642,"")</f>
        <v/>
      </c>
    </row>
    <row r="643" customFormat="false" ht="15" hidden="false" customHeight="false" outlineLevel="0" collapsed="false">
      <c r="F643" s="7" t="str">
        <f aca="false">IF(AND(D643&lt;&gt;"",E643&lt;&gt;""),D643*E643,"")</f>
        <v/>
      </c>
    </row>
    <row r="644" customFormat="false" ht="15" hidden="false" customHeight="false" outlineLevel="0" collapsed="false">
      <c r="F644" s="12" t="str">
        <f aca="false">IF(AND(D644&lt;&gt;"",E644&lt;&gt;""),D644*E644,"")</f>
        <v/>
      </c>
    </row>
    <row r="645" customFormat="false" ht="15" hidden="false" customHeight="false" outlineLevel="0" collapsed="false">
      <c r="F645" s="7" t="str">
        <f aca="false">IF(AND(D645&lt;&gt;"",E645&lt;&gt;""),D645*E645,"")</f>
        <v/>
      </c>
    </row>
    <row r="646" customFormat="false" ht="15" hidden="false" customHeight="false" outlineLevel="0" collapsed="false">
      <c r="F646" s="12" t="str">
        <f aca="false">IF(AND(D646&lt;&gt;"",E646&lt;&gt;""),D646*E646,"")</f>
        <v/>
      </c>
    </row>
    <row r="647" customFormat="false" ht="15" hidden="false" customHeight="false" outlineLevel="0" collapsed="false">
      <c r="F647" s="7" t="str">
        <f aca="false">IF(AND(D647&lt;&gt;"",E647&lt;&gt;""),D647*E647,"")</f>
        <v/>
      </c>
    </row>
    <row r="648" customFormat="false" ht="15" hidden="false" customHeight="false" outlineLevel="0" collapsed="false">
      <c r="F648" s="12" t="str">
        <f aca="false">IF(AND(D648&lt;&gt;"",E648&lt;&gt;""),D648*E648,"")</f>
        <v/>
      </c>
    </row>
    <row r="649" customFormat="false" ht="15" hidden="false" customHeight="false" outlineLevel="0" collapsed="false">
      <c r="F649" s="7" t="str">
        <f aca="false">IF(AND(D649&lt;&gt;"",E649&lt;&gt;""),D649*E649,"")</f>
        <v/>
      </c>
    </row>
    <row r="650" customFormat="false" ht="15" hidden="false" customHeight="false" outlineLevel="0" collapsed="false">
      <c r="F650" s="12" t="str">
        <f aca="false">IF(AND(D650&lt;&gt;"",E650&lt;&gt;""),D650*E650,"")</f>
        <v/>
      </c>
    </row>
    <row r="651" customFormat="false" ht="15" hidden="false" customHeight="false" outlineLevel="0" collapsed="false">
      <c r="F651" s="7" t="str">
        <f aca="false">IF(AND(D651&lt;&gt;"",E651&lt;&gt;""),D651*E651,"")</f>
        <v/>
      </c>
    </row>
    <row r="652" customFormat="false" ht="15" hidden="false" customHeight="false" outlineLevel="0" collapsed="false">
      <c r="F652" s="12" t="str">
        <f aca="false">IF(AND(D652&lt;&gt;"",E652&lt;&gt;""),D652*E652,"")</f>
        <v/>
      </c>
    </row>
    <row r="653" customFormat="false" ht="15" hidden="false" customHeight="false" outlineLevel="0" collapsed="false">
      <c r="F653" s="7" t="str">
        <f aca="false">IF(AND(D653&lt;&gt;"",E653&lt;&gt;""),D653*E653,"")</f>
        <v/>
      </c>
    </row>
    <row r="654" customFormat="false" ht="15" hidden="false" customHeight="false" outlineLevel="0" collapsed="false">
      <c r="F654" s="12" t="str">
        <f aca="false">IF(AND(D654&lt;&gt;"",E654&lt;&gt;""),D654*E654,"")</f>
        <v/>
      </c>
    </row>
    <row r="655" customFormat="false" ht="15" hidden="false" customHeight="false" outlineLevel="0" collapsed="false">
      <c r="F655" s="7" t="str">
        <f aca="false">IF(AND(D655&lt;&gt;"",E655&lt;&gt;""),D655*E655,"")</f>
        <v/>
      </c>
    </row>
    <row r="656" customFormat="false" ht="15" hidden="false" customHeight="false" outlineLevel="0" collapsed="false">
      <c r="F656" s="12" t="str">
        <f aca="false">IF(AND(D656&lt;&gt;"",E656&lt;&gt;""),D656*E656,"")</f>
        <v/>
      </c>
    </row>
    <row r="657" customFormat="false" ht="15" hidden="false" customHeight="false" outlineLevel="0" collapsed="false">
      <c r="F657" s="7" t="str">
        <f aca="false">IF(AND(D657&lt;&gt;"",E657&lt;&gt;""),D657*E657,"")</f>
        <v/>
      </c>
    </row>
    <row r="658" customFormat="false" ht="15" hidden="false" customHeight="false" outlineLevel="0" collapsed="false">
      <c r="F658" s="12" t="str">
        <f aca="false">IF(AND(D658&lt;&gt;"",E658&lt;&gt;""),D658*E658,"")</f>
        <v/>
      </c>
    </row>
    <row r="659" customFormat="false" ht="15" hidden="false" customHeight="false" outlineLevel="0" collapsed="false">
      <c r="F659" s="7" t="str">
        <f aca="false">IF(AND(D659&lt;&gt;"",E659&lt;&gt;""),D659*E659,"")</f>
        <v/>
      </c>
    </row>
    <row r="660" customFormat="false" ht="15" hidden="false" customHeight="false" outlineLevel="0" collapsed="false">
      <c r="F660" s="12" t="str">
        <f aca="false">IF(AND(D660&lt;&gt;"",E660&lt;&gt;""),D660*E660,"")</f>
        <v/>
      </c>
    </row>
    <row r="661" customFormat="false" ht="15" hidden="false" customHeight="false" outlineLevel="0" collapsed="false">
      <c r="F661" s="7" t="str">
        <f aca="false">IF(AND(D661&lt;&gt;"",E661&lt;&gt;""),D661*E661,"")</f>
        <v/>
      </c>
    </row>
    <row r="662" customFormat="false" ht="15" hidden="false" customHeight="false" outlineLevel="0" collapsed="false">
      <c r="F662" s="12" t="str">
        <f aca="false">IF(AND(D662&lt;&gt;"",E662&lt;&gt;""),D662*E662,"")</f>
        <v/>
      </c>
    </row>
    <row r="663" customFormat="false" ht="15" hidden="false" customHeight="false" outlineLevel="0" collapsed="false">
      <c r="F663" s="7" t="str">
        <f aca="false">IF(AND(D663&lt;&gt;"",E663&lt;&gt;""),D663*E663,"")</f>
        <v/>
      </c>
    </row>
    <row r="664" customFormat="false" ht="15" hidden="false" customHeight="false" outlineLevel="0" collapsed="false">
      <c r="F664" s="12" t="str">
        <f aca="false">IF(AND(D664&lt;&gt;"",E664&lt;&gt;""),D664*E664,"")</f>
        <v/>
      </c>
    </row>
    <row r="665" customFormat="false" ht="15" hidden="false" customHeight="false" outlineLevel="0" collapsed="false">
      <c r="F665" s="7" t="str">
        <f aca="false">IF(AND(D665&lt;&gt;"",E665&lt;&gt;""),D665*E665,"")</f>
        <v/>
      </c>
    </row>
    <row r="666" customFormat="false" ht="15" hidden="false" customHeight="false" outlineLevel="0" collapsed="false">
      <c r="F666" s="12" t="str">
        <f aca="false">IF(AND(D666&lt;&gt;"",E666&lt;&gt;""),D666*E666,"")</f>
        <v/>
      </c>
    </row>
    <row r="667" customFormat="false" ht="15" hidden="false" customHeight="false" outlineLevel="0" collapsed="false">
      <c r="F667" s="7" t="str">
        <f aca="false">IF(AND(D667&lt;&gt;"",E667&lt;&gt;""),D667*E667,"")</f>
        <v/>
      </c>
    </row>
    <row r="668" customFormat="false" ht="15" hidden="false" customHeight="false" outlineLevel="0" collapsed="false">
      <c r="F668" s="12" t="str">
        <f aca="false">IF(AND(D668&lt;&gt;"",E668&lt;&gt;""),D668*E668,"")</f>
        <v/>
      </c>
    </row>
    <row r="669" customFormat="false" ht="15" hidden="false" customHeight="false" outlineLevel="0" collapsed="false">
      <c r="F669" s="7" t="str">
        <f aca="false">IF(AND(D669&lt;&gt;"",E669&lt;&gt;""),D669*E669,"")</f>
        <v/>
      </c>
    </row>
    <row r="670" customFormat="false" ht="15" hidden="false" customHeight="false" outlineLevel="0" collapsed="false">
      <c r="F670" s="12" t="str">
        <f aca="false">IF(AND(D670&lt;&gt;"",E670&lt;&gt;""),D670*E670,"")</f>
        <v/>
      </c>
    </row>
    <row r="671" customFormat="false" ht="15" hidden="false" customHeight="false" outlineLevel="0" collapsed="false">
      <c r="F671" s="7" t="str">
        <f aca="false">IF(AND(D671&lt;&gt;"",E671&lt;&gt;""),D671*E671,"")</f>
        <v/>
      </c>
    </row>
    <row r="672" customFormat="false" ht="15" hidden="false" customHeight="false" outlineLevel="0" collapsed="false">
      <c r="F672" s="12" t="str">
        <f aca="false">IF(AND(D672&lt;&gt;"",E672&lt;&gt;""),D672*E672,"")</f>
        <v/>
      </c>
    </row>
    <row r="673" customFormat="false" ht="15" hidden="false" customHeight="false" outlineLevel="0" collapsed="false">
      <c r="F673" s="7" t="str">
        <f aca="false">IF(AND(D673&lt;&gt;"",E673&lt;&gt;""),D673*E673,"")</f>
        <v/>
      </c>
    </row>
    <row r="674" customFormat="false" ht="15" hidden="false" customHeight="false" outlineLevel="0" collapsed="false">
      <c r="F674" s="12" t="str">
        <f aca="false">IF(AND(D674&lt;&gt;"",E674&lt;&gt;""),D674*E674,"")</f>
        <v/>
      </c>
    </row>
    <row r="675" customFormat="false" ht="15" hidden="false" customHeight="false" outlineLevel="0" collapsed="false">
      <c r="F675" s="7" t="str">
        <f aca="false">IF(AND(D675&lt;&gt;"",E675&lt;&gt;""),D675*E675,"")</f>
        <v/>
      </c>
    </row>
    <row r="676" customFormat="false" ht="15" hidden="false" customHeight="false" outlineLevel="0" collapsed="false">
      <c r="F676" s="12" t="str">
        <f aca="false">IF(AND(D676&lt;&gt;"",E676&lt;&gt;""),D676*E676,"")</f>
        <v/>
      </c>
    </row>
    <row r="677" customFormat="false" ht="15" hidden="false" customHeight="false" outlineLevel="0" collapsed="false">
      <c r="F677" s="7" t="str">
        <f aca="false">IF(AND(D677&lt;&gt;"",E677&lt;&gt;""),D677*E677,"")</f>
        <v/>
      </c>
    </row>
    <row r="678" customFormat="false" ht="15" hidden="false" customHeight="false" outlineLevel="0" collapsed="false">
      <c r="F678" s="12" t="str">
        <f aca="false">IF(AND(D678&lt;&gt;"",E678&lt;&gt;""),D678*E678,"")</f>
        <v/>
      </c>
    </row>
    <row r="679" customFormat="false" ht="15" hidden="false" customHeight="false" outlineLevel="0" collapsed="false">
      <c r="F679" s="7" t="str">
        <f aca="false">IF(AND(D679&lt;&gt;"",E679&lt;&gt;""),D679*E679,"")</f>
        <v/>
      </c>
    </row>
    <row r="680" customFormat="false" ht="15" hidden="false" customHeight="false" outlineLevel="0" collapsed="false">
      <c r="F680" s="12" t="str">
        <f aca="false">IF(AND(D680&lt;&gt;"",E680&lt;&gt;""),D680*E680,"")</f>
        <v/>
      </c>
    </row>
    <row r="681" customFormat="false" ht="15" hidden="false" customHeight="false" outlineLevel="0" collapsed="false">
      <c r="F681" s="7" t="str">
        <f aca="false">IF(AND(D681&lt;&gt;"",E681&lt;&gt;""),D681*E681,"")</f>
        <v/>
      </c>
    </row>
    <row r="682" customFormat="false" ht="15" hidden="false" customHeight="false" outlineLevel="0" collapsed="false">
      <c r="F682" s="12" t="str">
        <f aca="false">IF(AND(D682&lt;&gt;"",E682&lt;&gt;""),D682*E682,"")</f>
        <v/>
      </c>
    </row>
    <row r="683" customFormat="false" ht="15" hidden="false" customHeight="false" outlineLevel="0" collapsed="false">
      <c r="F683" s="7" t="str">
        <f aca="false">IF(AND(D683&lt;&gt;"",E683&lt;&gt;""),D683*E683,"")</f>
        <v/>
      </c>
    </row>
    <row r="684" customFormat="false" ht="15" hidden="false" customHeight="false" outlineLevel="0" collapsed="false">
      <c r="F684" s="12" t="str">
        <f aca="false">IF(AND(D684&lt;&gt;"",E684&lt;&gt;""),D684*E684,"")</f>
        <v/>
      </c>
    </row>
    <row r="685" customFormat="false" ht="15" hidden="false" customHeight="false" outlineLevel="0" collapsed="false">
      <c r="F685" s="7" t="str">
        <f aca="false">IF(AND(D685&lt;&gt;"",E685&lt;&gt;""),D685*E685,"")</f>
        <v/>
      </c>
    </row>
    <row r="686" customFormat="false" ht="15" hidden="false" customHeight="false" outlineLevel="0" collapsed="false">
      <c r="F686" s="12" t="str">
        <f aca="false">IF(AND(D686&lt;&gt;"",E686&lt;&gt;""),D686*E686,"")</f>
        <v/>
      </c>
    </row>
    <row r="687" customFormat="false" ht="15" hidden="false" customHeight="false" outlineLevel="0" collapsed="false">
      <c r="F687" s="7" t="str">
        <f aca="false">IF(AND(D687&lt;&gt;"",E687&lt;&gt;""),D687*E687,"")</f>
        <v/>
      </c>
    </row>
    <row r="688" customFormat="false" ht="15" hidden="false" customHeight="false" outlineLevel="0" collapsed="false">
      <c r="F688" s="12" t="str">
        <f aca="false">IF(AND(D688&lt;&gt;"",E688&lt;&gt;""),D688*E688,"")</f>
        <v/>
      </c>
    </row>
    <row r="689" customFormat="false" ht="15" hidden="false" customHeight="false" outlineLevel="0" collapsed="false">
      <c r="F689" s="7" t="str">
        <f aca="false">IF(AND(D689&lt;&gt;"",E689&lt;&gt;""),D689*E689,"")</f>
        <v/>
      </c>
    </row>
    <row r="690" customFormat="false" ht="15" hidden="false" customHeight="false" outlineLevel="0" collapsed="false">
      <c r="F690" s="12" t="str">
        <f aca="false">IF(AND(D690&lt;&gt;"",E690&lt;&gt;""),D690*E690,"")</f>
        <v/>
      </c>
    </row>
    <row r="691" customFormat="false" ht="15" hidden="false" customHeight="false" outlineLevel="0" collapsed="false">
      <c r="F691" s="7" t="str">
        <f aca="false">IF(AND(D691&lt;&gt;"",E691&lt;&gt;""),D691*E691,"")</f>
        <v/>
      </c>
    </row>
    <row r="692" customFormat="false" ht="15" hidden="false" customHeight="false" outlineLevel="0" collapsed="false">
      <c r="F692" s="12" t="str">
        <f aca="false">IF(AND(D692&lt;&gt;"",E692&lt;&gt;""),D692*E692,"")</f>
        <v/>
      </c>
    </row>
    <row r="693" customFormat="false" ht="15" hidden="false" customHeight="false" outlineLevel="0" collapsed="false">
      <c r="F693" s="7" t="str">
        <f aca="false">IF(AND(D693&lt;&gt;"",E693&lt;&gt;""),D693*E693,"")</f>
        <v/>
      </c>
    </row>
    <row r="694" customFormat="false" ht="15" hidden="false" customHeight="false" outlineLevel="0" collapsed="false">
      <c r="F694" s="12" t="str">
        <f aca="false">IF(AND(D694&lt;&gt;"",E694&lt;&gt;""),D694*E694,"")</f>
        <v/>
      </c>
    </row>
    <row r="695" customFormat="false" ht="15" hidden="false" customHeight="false" outlineLevel="0" collapsed="false">
      <c r="F695" s="7" t="str">
        <f aca="false">IF(AND(D695&lt;&gt;"",E695&lt;&gt;""),D695*E695,"")</f>
        <v/>
      </c>
    </row>
    <row r="696" customFormat="false" ht="15" hidden="false" customHeight="false" outlineLevel="0" collapsed="false">
      <c r="F696" s="12" t="str">
        <f aca="false">IF(AND(D696&lt;&gt;"",E696&lt;&gt;""),D696*E696,"")</f>
        <v/>
      </c>
    </row>
    <row r="697" customFormat="false" ht="15" hidden="false" customHeight="false" outlineLevel="0" collapsed="false">
      <c r="F697" s="7" t="str">
        <f aca="false">IF(AND(D697&lt;&gt;"",E697&lt;&gt;""),D697*E697,"")</f>
        <v/>
      </c>
    </row>
    <row r="698" customFormat="false" ht="15" hidden="false" customHeight="false" outlineLevel="0" collapsed="false">
      <c r="F698" s="12" t="str">
        <f aca="false">IF(AND(D698&lt;&gt;"",E698&lt;&gt;""),D698*E698,"")</f>
        <v/>
      </c>
    </row>
    <row r="699" customFormat="false" ht="15" hidden="false" customHeight="false" outlineLevel="0" collapsed="false">
      <c r="F699" s="7" t="str">
        <f aca="false">IF(AND(D699&lt;&gt;"",E699&lt;&gt;""),D699*E699,"")</f>
        <v/>
      </c>
    </row>
    <row r="700" customFormat="false" ht="15" hidden="false" customHeight="false" outlineLevel="0" collapsed="false">
      <c r="F700" s="12" t="str">
        <f aca="false">IF(AND(D700&lt;&gt;"",E700&lt;&gt;""),D700*E700,"")</f>
        <v/>
      </c>
    </row>
    <row r="701" customFormat="false" ht="15" hidden="false" customHeight="false" outlineLevel="0" collapsed="false">
      <c r="F701" s="7" t="str">
        <f aca="false">IF(AND(D701&lt;&gt;"",E701&lt;&gt;""),D701*E701,"")</f>
        <v/>
      </c>
    </row>
    <row r="702" customFormat="false" ht="15" hidden="false" customHeight="false" outlineLevel="0" collapsed="false">
      <c r="F702" s="12" t="str">
        <f aca="false">IF(AND(D702&lt;&gt;"",E702&lt;&gt;""),D702*E702,"")</f>
        <v/>
      </c>
    </row>
    <row r="703" customFormat="false" ht="15" hidden="false" customHeight="false" outlineLevel="0" collapsed="false">
      <c r="F703" s="7" t="str">
        <f aca="false">IF(AND(D703&lt;&gt;"",E703&lt;&gt;""),D703*E703,"")</f>
        <v/>
      </c>
    </row>
    <row r="704" customFormat="false" ht="15" hidden="false" customHeight="false" outlineLevel="0" collapsed="false">
      <c r="F704" s="12" t="str">
        <f aca="false">IF(AND(D704&lt;&gt;"",E704&lt;&gt;""),D704*E704,"")</f>
        <v/>
      </c>
    </row>
    <row r="705" customFormat="false" ht="15" hidden="false" customHeight="false" outlineLevel="0" collapsed="false">
      <c r="F705" s="7" t="str">
        <f aca="false">IF(AND(D705&lt;&gt;"",E705&lt;&gt;""),D705*E705,"")</f>
        <v/>
      </c>
    </row>
    <row r="706" customFormat="false" ht="15" hidden="false" customHeight="false" outlineLevel="0" collapsed="false">
      <c r="F706" s="12" t="str">
        <f aca="false">IF(AND(D706&lt;&gt;"",E706&lt;&gt;""),D706*E706,"")</f>
        <v/>
      </c>
    </row>
    <row r="707" customFormat="false" ht="15" hidden="false" customHeight="false" outlineLevel="0" collapsed="false">
      <c r="F707" s="7" t="str">
        <f aca="false">IF(AND(D707&lt;&gt;"",E707&lt;&gt;""),D707*E707,"")</f>
        <v/>
      </c>
    </row>
    <row r="708" customFormat="false" ht="15" hidden="false" customHeight="false" outlineLevel="0" collapsed="false">
      <c r="F708" s="12" t="str">
        <f aca="false">IF(AND(D708&lt;&gt;"",E708&lt;&gt;""),D708*E708,"")</f>
        <v/>
      </c>
    </row>
    <row r="709" customFormat="false" ht="15" hidden="false" customHeight="false" outlineLevel="0" collapsed="false">
      <c r="F709" s="7" t="str">
        <f aca="false">IF(AND(D709&lt;&gt;"",E709&lt;&gt;""),D709*E709,"")</f>
        <v/>
      </c>
    </row>
    <row r="710" customFormat="false" ht="15" hidden="false" customHeight="false" outlineLevel="0" collapsed="false">
      <c r="F710" s="12" t="str">
        <f aca="false">IF(AND(D710&lt;&gt;"",E710&lt;&gt;""),D710*E710,"")</f>
        <v/>
      </c>
    </row>
    <row r="711" customFormat="false" ht="15" hidden="false" customHeight="false" outlineLevel="0" collapsed="false">
      <c r="F711" s="7" t="str">
        <f aca="false">IF(AND(D711&lt;&gt;"",E711&lt;&gt;""),D711*E711,"")</f>
        <v/>
      </c>
    </row>
    <row r="712" customFormat="false" ht="15" hidden="false" customHeight="false" outlineLevel="0" collapsed="false">
      <c r="F712" s="12" t="str">
        <f aca="false">IF(AND(D712&lt;&gt;"",E712&lt;&gt;""),D712*E712,"")</f>
        <v/>
      </c>
    </row>
    <row r="713" customFormat="false" ht="15" hidden="false" customHeight="false" outlineLevel="0" collapsed="false">
      <c r="F713" s="7" t="str">
        <f aca="false">IF(AND(D713&lt;&gt;"",E713&lt;&gt;""),D713*E713,"")</f>
        <v/>
      </c>
    </row>
    <row r="714" customFormat="false" ht="15" hidden="false" customHeight="false" outlineLevel="0" collapsed="false">
      <c r="F714" s="12" t="str">
        <f aca="false">IF(AND(D714&lt;&gt;"",E714&lt;&gt;""),D714*E714,"")</f>
        <v/>
      </c>
    </row>
    <row r="715" customFormat="false" ht="15" hidden="false" customHeight="false" outlineLevel="0" collapsed="false">
      <c r="F715" s="7" t="str">
        <f aca="false">IF(AND(D715&lt;&gt;"",E715&lt;&gt;""),D715*E715,"")</f>
        <v/>
      </c>
    </row>
    <row r="716" customFormat="false" ht="15" hidden="false" customHeight="false" outlineLevel="0" collapsed="false">
      <c r="F716" s="12" t="str">
        <f aca="false">IF(AND(D716&lt;&gt;"",E716&lt;&gt;""),D716*E716,"")</f>
        <v/>
      </c>
    </row>
    <row r="717" customFormat="false" ht="15" hidden="false" customHeight="false" outlineLevel="0" collapsed="false">
      <c r="F717" s="7" t="str">
        <f aca="false">IF(AND(D717&lt;&gt;"",E717&lt;&gt;""),D717*E717,"")</f>
        <v/>
      </c>
    </row>
    <row r="718" customFormat="false" ht="15" hidden="false" customHeight="false" outlineLevel="0" collapsed="false">
      <c r="F718" s="12" t="str">
        <f aca="false">IF(AND(D718&lt;&gt;"",E718&lt;&gt;""),D718*E718,"")</f>
        <v/>
      </c>
    </row>
    <row r="719" customFormat="false" ht="15" hidden="false" customHeight="false" outlineLevel="0" collapsed="false">
      <c r="F719" s="7" t="str">
        <f aca="false">IF(AND(D719&lt;&gt;"",E719&lt;&gt;""),D719*E719,"")</f>
        <v/>
      </c>
    </row>
    <row r="720" customFormat="false" ht="15" hidden="false" customHeight="false" outlineLevel="0" collapsed="false">
      <c r="F720" s="12" t="str">
        <f aca="false">IF(AND(D720&lt;&gt;"",E720&lt;&gt;""),D720*E720,"")</f>
        <v/>
      </c>
    </row>
    <row r="721" customFormat="false" ht="15" hidden="false" customHeight="false" outlineLevel="0" collapsed="false">
      <c r="F721" s="7" t="str">
        <f aca="false">IF(AND(D721&lt;&gt;"",E721&lt;&gt;""),D721*E721,"")</f>
        <v/>
      </c>
    </row>
    <row r="722" customFormat="false" ht="15" hidden="false" customHeight="false" outlineLevel="0" collapsed="false">
      <c r="F722" s="12" t="str">
        <f aca="false">IF(AND(D722&lt;&gt;"",E722&lt;&gt;""),D722*E722,"")</f>
        <v/>
      </c>
    </row>
    <row r="723" customFormat="false" ht="15" hidden="false" customHeight="false" outlineLevel="0" collapsed="false">
      <c r="F723" s="7" t="str">
        <f aca="false">IF(AND(D723&lt;&gt;"",E723&lt;&gt;""),D723*E723,"")</f>
        <v/>
      </c>
    </row>
    <row r="724" customFormat="false" ht="15" hidden="false" customHeight="false" outlineLevel="0" collapsed="false">
      <c r="F724" s="12" t="str">
        <f aca="false">IF(AND(D724&lt;&gt;"",E724&lt;&gt;""),D724*E724,"")</f>
        <v/>
      </c>
    </row>
    <row r="725" customFormat="false" ht="15" hidden="false" customHeight="false" outlineLevel="0" collapsed="false">
      <c r="F725" s="7" t="str">
        <f aca="false">IF(AND(D725&lt;&gt;"",E725&lt;&gt;""),D725*E725,"")</f>
        <v/>
      </c>
    </row>
    <row r="726" customFormat="false" ht="15" hidden="false" customHeight="false" outlineLevel="0" collapsed="false">
      <c r="F726" s="12" t="str">
        <f aca="false">IF(AND(D726&lt;&gt;"",E726&lt;&gt;""),D726*E726,"")</f>
        <v/>
      </c>
    </row>
    <row r="727" customFormat="false" ht="15" hidden="false" customHeight="false" outlineLevel="0" collapsed="false">
      <c r="F727" s="7" t="str">
        <f aca="false">IF(AND(D727&lt;&gt;"",E727&lt;&gt;""),D727*E727,"")</f>
        <v/>
      </c>
    </row>
    <row r="728" customFormat="false" ht="15" hidden="false" customHeight="false" outlineLevel="0" collapsed="false">
      <c r="F728" s="12" t="str">
        <f aca="false">IF(AND(D728&lt;&gt;"",E728&lt;&gt;""),D728*E728,"")</f>
        <v/>
      </c>
    </row>
    <row r="729" customFormat="false" ht="15" hidden="false" customHeight="false" outlineLevel="0" collapsed="false">
      <c r="F729" s="7" t="str">
        <f aca="false">IF(AND(D729&lt;&gt;"",E729&lt;&gt;""),D729*E729,"")</f>
        <v/>
      </c>
    </row>
    <row r="730" customFormat="false" ht="15" hidden="false" customHeight="false" outlineLevel="0" collapsed="false">
      <c r="F730" s="12" t="str">
        <f aca="false">IF(AND(D730&lt;&gt;"",E730&lt;&gt;""),D730*E730,"")</f>
        <v/>
      </c>
    </row>
    <row r="731" customFormat="false" ht="15" hidden="false" customHeight="false" outlineLevel="0" collapsed="false">
      <c r="F731" s="7" t="str">
        <f aca="false">IF(AND(D731&lt;&gt;"",E731&lt;&gt;""),D731*E731,"")</f>
        <v/>
      </c>
    </row>
    <row r="732" customFormat="false" ht="15" hidden="false" customHeight="false" outlineLevel="0" collapsed="false">
      <c r="F732" s="12" t="str">
        <f aca="false">IF(AND(D732&lt;&gt;"",E732&lt;&gt;""),D732*E732,"")</f>
        <v/>
      </c>
    </row>
    <row r="733" customFormat="false" ht="15" hidden="false" customHeight="false" outlineLevel="0" collapsed="false">
      <c r="F733" s="7" t="str">
        <f aca="false">IF(AND(D733&lt;&gt;"",E733&lt;&gt;""),D733*E733,"")</f>
        <v/>
      </c>
    </row>
    <row r="734" customFormat="false" ht="15" hidden="false" customHeight="false" outlineLevel="0" collapsed="false">
      <c r="F734" s="12" t="str">
        <f aca="false">IF(AND(D734&lt;&gt;"",E734&lt;&gt;""),D734*E734,"")</f>
        <v/>
      </c>
    </row>
    <row r="735" customFormat="false" ht="15" hidden="false" customHeight="false" outlineLevel="0" collapsed="false">
      <c r="F735" s="7" t="str">
        <f aca="false">IF(AND(D735&lt;&gt;"",E735&lt;&gt;""),D735*E735,"")</f>
        <v/>
      </c>
    </row>
    <row r="736" customFormat="false" ht="15" hidden="false" customHeight="false" outlineLevel="0" collapsed="false">
      <c r="F736" s="12" t="str">
        <f aca="false">IF(AND(D736&lt;&gt;"",E736&lt;&gt;""),D736*E736,"")</f>
        <v/>
      </c>
    </row>
    <row r="737" customFormat="false" ht="15" hidden="false" customHeight="false" outlineLevel="0" collapsed="false">
      <c r="F737" s="7" t="str">
        <f aca="false">IF(AND(D737&lt;&gt;"",E737&lt;&gt;""),D737*E737,"")</f>
        <v/>
      </c>
    </row>
    <row r="738" customFormat="false" ht="15" hidden="false" customHeight="false" outlineLevel="0" collapsed="false">
      <c r="F738" s="12" t="str">
        <f aca="false">IF(AND(D738&lt;&gt;"",E738&lt;&gt;""),D738*E738,"")</f>
        <v/>
      </c>
    </row>
    <row r="739" customFormat="false" ht="15" hidden="false" customHeight="false" outlineLevel="0" collapsed="false">
      <c r="F739" s="7" t="str">
        <f aca="false">IF(AND(D739&lt;&gt;"",E739&lt;&gt;""),D739*E739,"")</f>
        <v/>
      </c>
    </row>
    <row r="740" customFormat="false" ht="15" hidden="false" customHeight="false" outlineLevel="0" collapsed="false">
      <c r="F740" s="12" t="str">
        <f aca="false">IF(AND(D740&lt;&gt;"",E740&lt;&gt;""),D740*E740,"")</f>
        <v/>
      </c>
    </row>
    <row r="741" customFormat="false" ht="15" hidden="false" customHeight="false" outlineLevel="0" collapsed="false">
      <c r="F741" s="7" t="str">
        <f aca="false">IF(AND(D741&lt;&gt;"",E741&lt;&gt;""),D741*E741,"")</f>
        <v/>
      </c>
    </row>
    <row r="742" customFormat="false" ht="15" hidden="false" customHeight="false" outlineLevel="0" collapsed="false">
      <c r="F742" s="12" t="str">
        <f aca="false">IF(AND(D742&lt;&gt;"",E742&lt;&gt;""),D742*E742,"")</f>
        <v/>
      </c>
    </row>
    <row r="743" customFormat="false" ht="15" hidden="false" customHeight="false" outlineLevel="0" collapsed="false">
      <c r="F743" s="7" t="str">
        <f aca="false">IF(AND(D743&lt;&gt;"",E743&lt;&gt;""),D743*E743,"")</f>
        <v/>
      </c>
    </row>
    <row r="744" customFormat="false" ht="15" hidden="false" customHeight="false" outlineLevel="0" collapsed="false">
      <c r="F744" s="12" t="str">
        <f aca="false">IF(AND(D744&lt;&gt;"",E744&lt;&gt;""),D744*E744,"")</f>
        <v/>
      </c>
    </row>
    <row r="745" customFormat="false" ht="15" hidden="false" customHeight="false" outlineLevel="0" collapsed="false">
      <c r="F745" s="7" t="str">
        <f aca="false">IF(AND(D745&lt;&gt;"",E745&lt;&gt;""),D745*E745,"")</f>
        <v/>
      </c>
    </row>
    <row r="746" customFormat="false" ht="15" hidden="false" customHeight="false" outlineLevel="0" collapsed="false">
      <c r="F746" s="12" t="str">
        <f aca="false">IF(AND(D746&lt;&gt;"",E746&lt;&gt;""),D746*E746,"")</f>
        <v/>
      </c>
    </row>
    <row r="747" customFormat="false" ht="15" hidden="false" customHeight="false" outlineLevel="0" collapsed="false">
      <c r="F747" s="7" t="str">
        <f aca="false">IF(AND(D747&lt;&gt;"",E747&lt;&gt;""),D747*E747,"")</f>
        <v/>
      </c>
    </row>
    <row r="748" customFormat="false" ht="15" hidden="false" customHeight="false" outlineLevel="0" collapsed="false">
      <c r="F748" s="12" t="str">
        <f aca="false">IF(AND(D748&lt;&gt;"",E748&lt;&gt;""),D748*E748,"")</f>
        <v/>
      </c>
    </row>
    <row r="749" customFormat="false" ht="15" hidden="false" customHeight="false" outlineLevel="0" collapsed="false">
      <c r="F749" s="7" t="str">
        <f aca="false">IF(AND(D749&lt;&gt;"",E749&lt;&gt;""),D749*E749,"")</f>
        <v/>
      </c>
    </row>
    <row r="750" customFormat="false" ht="15" hidden="false" customHeight="false" outlineLevel="0" collapsed="false">
      <c r="F750" s="12" t="str">
        <f aca="false">IF(AND(D750&lt;&gt;"",E750&lt;&gt;""),D750*E750,"")</f>
        <v/>
      </c>
    </row>
    <row r="751" customFormat="false" ht="15" hidden="false" customHeight="false" outlineLevel="0" collapsed="false">
      <c r="F751" s="7" t="str">
        <f aca="false">IF(AND(D751&lt;&gt;"",E751&lt;&gt;""),D751*E751,"")</f>
        <v/>
      </c>
    </row>
    <row r="752" customFormat="false" ht="15" hidden="false" customHeight="false" outlineLevel="0" collapsed="false">
      <c r="F752" s="12" t="str">
        <f aca="false">IF(AND(D752&lt;&gt;"",E752&lt;&gt;""),D752*E752,"")</f>
        <v/>
      </c>
    </row>
    <row r="753" customFormat="false" ht="15" hidden="false" customHeight="false" outlineLevel="0" collapsed="false">
      <c r="F753" s="7" t="str">
        <f aca="false">IF(AND(D753&lt;&gt;"",E753&lt;&gt;""),D753*E753,"")</f>
        <v/>
      </c>
    </row>
    <row r="754" customFormat="false" ht="15" hidden="false" customHeight="false" outlineLevel="0" collapsed="false">
      <c r="F754" s="12" t="str">
        <f aca="false">IF(AND(D754&lt;&gt;"",E754&lt;&gt;""),D754*E754,"")</f>
        <v/>
      </c>
    </row>
    <row r="755" customFormat="false" ht="15" hidden="false" customHeight="false" outlineLevel="0" collapsed="false">
      <c r="F755" s="7" t="str">
        <f aca="false">IF(AND(D755&lt;&gt;"",E755&lt;&gt;""),D755*E755,"")</f>
        <v/>
      </c>
    </row>
    <row r="756" customFormat="false" ht="15" hidden="false" customHeight="false" outlineLevel="0" collapsed="false">
      <c r="F756" s="12" t="str">
        <f aca="false">IF(AND(D756&lt;&gt;"",E756&lt;&gt;""),D756*E756,"")</f>
        <v/>
      </c>
    </row>
    <row r="757" customFormat="false" ht="15" hidden="false" customHeight="false" outlineLevel="0" collapsed="false">
      <c r="F757" s="7" t="str">
        <f aca="false">IF(AND(D757&lt;&gt;"",E757&lt;&gt;""),D757*E757,"")</f>
        <v/>
      </c>
    </row>
    <row r="758" customFormat="false" ht="15" hidden="false" customHeight="false" outlineLevel="0" collapsed="false">
      <c r="F758" s="12" t="str">
        <f aca="false">IF(AND(D758&lt;&gt;"",E758&lt;&gt;""),D758*E758,"")</f>
        <v/>
      </c>
    </row>
    <row r="759" customFormat="false" ht="15" hidden="false" customHeight="false" outlineLevel="0" collapsed="false">
      <c r="F759" s="7" t="str">
        <f aca="false">IF(AND(D759&lt;&gt;"",E759&lt;&gt;""),D759*E759,"")</f>
        <v/>
      </c>
    </row>
    <row r="760" customFormat="false" ht="15" hidden="false" customHeight="false" outlineLevel="0" collapsed="false">
      <c r="F760" s="12" t="str">
        <f aca="false">IF(AND(D760&lt;&gt;"",E760&lt;&gt;""),D760*E760,"")</f>
        <v/>
      </c>
    </row>
    <row r="761" customFormat="false" ht="15" hidden="false" customHeight="false" outlineLevel="0" collapsed="false">
      <c r="F761" s="7" t="str">
        <f aca="false">IF(AND(D761&lt;&gt;"",E761&lt;&gt;""),D761*E761,"")</f>
        <v/>
      </c>
    </row>
    <row r="762" customFormat="false" ht="15" hidden="false" customHeight="false" outlineLevel="0" collapsed="false">
      <c r="F762" s="12" t="str">
        <f aca="false">IF(AND(D762&lt;&gt;"",E762&lt;&gt;""),D762*E762,"")</f>
        <v/>
      </c>
    </row>
    <row r="763" customFormat="false" ht="15" hidden="false" customHeight="false" outlineLevel="0" collapsed="false">
      <c r="F763" s="7" t="str">
        <f aca="false">IF(AND(D763&lt;&gt;"",E763&lt;&gt;""),D763*E763,"")</f>
        <v/>
      </c>
    </row>
    <row r="764" customFormat="false" ht="15" hidden="false" customHeight="false" outlineLevel="0" collapsed="false">
      <c r="F764" s="12" t="str">
        <f aca="false">IF(AND(D764&lt;&gt;"",E764&lt;&gt;""),D764*E764,"")</f>
        <v/>
      </c>
    </row>
    <row r="765" customFormat="false" ht="15" hidden="false" customHeight="false" outlineLevel="0" collapsed="false">
      <c r="F765" s="7" t="str">
        <f aca="false">IF(AND(D765&lt;&gt;"",E765&lt;&gt;""),D765*E765,"")</f>
        <v/>
      </c>
    </row>
    <row r="766" customFormat="false" ht="15" hidden="false" customHeight="false" outlineLevel="0" collapsed="false">
      <c r="F766" s="12" t="str">
        <f aca="false">IF(AND(D766&lt;&gt;"",E766&lt;&gt;""),D766*E766,"")</f>
        <v/>
      </c>
    </row>
    <row r="767" customFormat="false" ht="15" hidden="false" customHeight="false" outlineLevel="0" collapsed="false">
      <c r="F767" s="7" t="str">
        <f aca="false">IF(AND(D767&lt;&gt;"",E767&lt;&gt;""),D767*E767,"")</f>
        <v/>
      </c>
    </row>
    <row r="768" customFormat="false" ht="15" hidden="false" customHeight="false" outlineLevel="0" collapsed="false">
      <c r="F768" s="12" t="str">
        <f aca="false">IF(AND(D768&lt;&gt;"",E768&lt;&gt;""),D768*E768,"")</f>
        <v/>
      </c>
    </row>
    <row r="769" customFormat="false" ht="15" hidden="false" customHeight="false" outlineLevel="0" collapsed="false">
      <c r="F769" s="7" t="str">
        <f aca="false">IF(AND(D769&lt;&gt;"",E769&lt;&gt;""),D769*E769,"")</f>
        <v/>
      </c>
    </row>
    <row r="770" customFormat="false" ht="15" hidden="false" customHeight="false" outlineLevel="0" collapsed="false">
      <c r="F770" s="12" t="str">
        <f aca="false">IF(AND(D770&lt;&gt;"",E770&lt;&gt;""),D770*E770,"")</f>
        <v/>
      </c>
    </row>
    <row r="771" customFormat="false" ht="15" hidden="false" customHeight="false" outlineLevel="0" collapsed="false">
      <c r="F771" s="7" t="str">
        <f aca="false">IF(AND(D771&lt;&gt;"",E771&lt;&gt;""),D771*E771,"")</f>
        <v/>
      </c>
    </row>
    <row r="772" customFormat="false" ht="15" hidden="false" customHeight="false" outlineLevel="0" collapsed="false">
      <c r="F772" s="12" t="str">
        <f aca="false">IF(AND(D772&lt;&gt;"",E772&lt;&gt;""),D772*E772,"")</f>
        <v/>
      </c>
    </row>
    <row r="773" customFormat="false" ht="15" hidden="false" customHeight="false" outlineLevel="0" collapsed="false">
      <c r="F773" s="7" t="str">
        <f aca="false">IF(AND(D773&lt;&gt;"",E773&lt;&gt;""),D773*E773,"")</f>
        <v/>
      </c>
    </row>
    <row r="774" customFormat="false" ht="15" hidden="false" customHeight="false" outlineLevel="0" collapsed="false">
      <c r="F774" s="12" t="str">
        <f aca="false">IF(AND(D774&lt;&gt;"",E774&lt;&gt;""),D774*E774,"")</f>
        <v/>
      </c>
    </row>
    <row r="775" customFormat="false" ht="15" hidden="false" customHeight="false" outlineLevel="0" collapsed="false">
      <c r="F775" s="7" t="str">
        <f aca="false">IF(AND(D775&lt;&gt;"",E775&lt;&gt;""),D775*E775,"")</f>
        <v/>
      </c>
    </row>
    <row r="776" customFormat="false" ht="15" hidden="false" customHeight="false" outlineLevel="0" collapsed="false">
      <c r="F776" s="12" t="str">
        <f aca="false">IF(AND(D776&lt;&gt;"",E776&lt;&gt;""),D776*E776,"")</f>
        <v/>
      </c>
    </row>
    <row r="777" customFormat="false" ht="15" hidden="false" customHeight="false" outlineLevel="0" collapsed="false">
      <c r="F777" s="7" t="str">
        <f aca="false">IF(AND(D777&lt;&gt;"",E777&lt;&gt;""),D777*E777,"")</f>
        <v/>
      </c>
    </row>
    <row r="778" customFormat="false" ht="15" hidden="false" customHeight="false" outlineLevel="0" collapsed="false">
      <c r="F778" s="12" t="str">
        <f aca="false">IF(AND(D778&lt;&gt;"",E778&lt;&gt;""),D778*E778,"")</f>
        <v/>
      </c>
    </row>
    <row r="779" customFormat="false" ht="15" hidden="false" customHeight="false" outlineLevel="0" collapsed="false">
      <c r="F779" s="7" t="str">
        <f aca="false">IF(AND(D779&lt;&gt;"",E779&lt;&gt;""),D779*E779,"")</f>
        <v/>
      </c>
    </row>
    <row r="780" customFormat="false" ht="15" hidden="false" customHeight="false" outlineLevel="0" collapsed="false">
      <c r="F780" s="12" t="str">
        <f aca="false">IF(AND(D780&lt;&gt;"",E780&lt;&gt;""),D780*E780,"")</f>
        <v/>
      </c>
    </row>
    <row r="781" customFormat="false" ht="15" hidden="false" customHeight="false" outlineLevel="0" collapsed="false">
      <c r="F781" s="7" t="str">
        <f aca="false">IF(AND(D781&lt;&gt;"",E781&lt;&gt;""),D781*E781,"")</f>
        <v/>
      </c>
    </row>
    <row r="782" customFormat="false" ht="15" hidden="false" customHeight="false" outlineLevel="0" collapsed="false">
      <c r="F782" s="12" t="str">
        <f aca="false">IF(AND(D782&lt;&gt;"",E782&lt;&gt;""),D782*E782,"")</f>
        <v/>
      </c>
    </row>
    <row r="783" customFormat="false" ht="15" hidden="false" customHeight="false" outlineLevel="0" collapsed="false">
      <c r="F783" s="7" t="str">
        <f aca="false">IF(AND(D783&lt;&gt;"",E783&lt;&gt;""),D783*E783,"")</f>
        <v/>
      </c>
    </row>
    <row r="784" customFormat="false" ht="15" hidden="false" customHeight="false" outlineLevel="0" collapsed="false">
      <c r="F784" s="12" t="str">
        <f aca="false">IF(AND(D784&lt;&gt;"",E784&lt;&gt;""),D784*E784,"")</f>
        <v/>
      </c>
    </row>
    <row r="785" customFormat="false" ht="15" hidden="false" customHeight="false" outlineLevel="0" collapsed="false">
      <c r="F785" s="7" t="str">
        <f aca="false">IF(AND(D785&lt;&gt;"",E785&lt;&gt;""),D785*E785,"")</f>
        <v/>
      </c>
    </row>
    <row r="786" customFormat="false" ht="15" hidden="false" customHeight="false" outlineLevel="0" collapsed="false">
      <c r="F786" s="12" t="str">
        <f aca="false">IF(AND(D786&lt;&gt;"",E786&lt;&gt;""),D786*E786,"")</f>
        <v/>
      </c>
    </row>
    <row r="787" customFormat="false" ht="15" hidden="false" customHeight="false" outlineLevel="0" collapsed="false">
      <c r="F787" s="7" t="str">
        <f aca="false">IF(AND(D787&lt;&gt;"",E787&lt;&gt;""),D787*E787,"")</f>
        <v/>
      </c>
    </row>
    <row r="788" customFormat="false" ht="15" hidden="false" customHeight="false" outlineLevel="0" collapsed="false">
      <c r="F788" s="12" t="str">
        <f aca="false">IF(AND(D788&lt;&gt;"",E788&lt;&gt;""),D788*E788,"")</f>
        <v/>
      </c>
    </row>
    <row r="789" customFormat="false" ht="15" hidden="false" customHeight="false" outlineLevel="0" collapsed="false">
      <c r="F789" s="7" t="str">
        <f aca="false">IF(AND(D789&lt;&gt;"",E789&lt;&gt;""),D789*E789,"")</f>
        <v/>
      </c>
    </row>
    <row r="790" customFormat="false" ht="15" hidden="false" customHeight="false" outlineLevel="0" collapsed="false">
      <c r="F790" s="12" t="str">
        <f aca="false">IF(AND(D790&lt;&gt;"",E790&lt;&gt;""),D790*E790,"")</f>
        <v/>
      </c>
    </row>
    <row r="791" customFormat="false" ht="15" hidden="false" customHeight="false" outlineLevel="0" collapsed="false">
      <c r="F791" s="7" t="str">
        <f aca="false">IF(AND(D791&lt;&gt;"",E791&lt;&gt;""),D791*E791,"")</f>
        <v/>
      </c>
    </row>
    <row r="792" customFormat="false" ht="15" hidden="false" customHeight="false" outlineLevel="0" collapsed="false">
      <c r="F792" s="12" t="str">
        <f aca="false">IF(AND(D792&lt;&gt;"",E792&lt;&gt;""),D792*E792,"")</f>
        <v/>
      </c>
    </row>
    <row r="793" customFormat="false" ht="15" hidden="false" customHeight="false" outlineLevel="0" collapsed="false">
      <c r="F793" s="7" t="str">
        <f aca="false">IF(AND(D793&lt;&gt;"",E793&lt;&gt;""),D793*E793,"")</f>
        <v/>
      </c>
    </row>
    <row r="794" customFormat="false" ht="15" hidden="false" customHeight="false" outlineLevel="0" collapsed="false">
      <c r="F794" s="12" t="str">
        <f aca="false">IF(AND(D794&lt;&gt;"",E794&lt;&gt;""),D794*E794,"")</f>
        <v/>
      </c>
    </row>
    <row r="795" customFormat="false" ht="15" hidden="false" customHeight="false" outlineLevel="0" collapsed="false">
      <c r="F795" s="7" t="str">
        <f aca="false">IF(AND(D795&lt;&gt;"",E795&lt;&gt;""),D795*E795,"")</f>
        <v/>
      </c>
    </row>
    <row r="796" customFormat="false" ht="15" hidden="false" customHeight="false" outlineLevel="0" collapsed="false">
      <c r="F796" s="12" t="str">
        <f aca="false">IF(AND(D796&lt;&gt;"",E796&lt;&gt;""),D796*E796,"")</f>
        <v/>
      </c>
    </row>
    <row r="797" customFormat="false" ht="15" hidden="false" customHeight="false" outlineLevel="0" collapsed="false">
      <c r="F797" s="7" t="str">
        <f aca="false">IF(AND(D797&lt;&gt;"",E797&lt;&gt;""),D797*E797,"")</f>
        <v/>
      </c>
    </row>
    <row r="798" customFormat="false" ht="15" hidden="false" customHeight="false" outlineLevel="0" collapsed="false">
      <c r="F798" s="12" t="str">
        <f aca="false">IF(AND(D798&lt;&gt;"",E798&lt;&gt;""),D798*E798,"")</f>
        <v/>
      </c>
    </row>
    <row r="799" customFormat="false" ht="15" hidden="false" customHeight="false" outlineLevel="0" collapsed="false">
      <c r="F799" s="7" t="str">
        <f aca="false">IF(AND(D799&lt;&gt;"",E799&lt;&gt;""),D799*E799,"")</f>
        <v/>
      </c>
    </row>
    <row r="800" customFormat="false" ht="15" hidden="false" customHeight="false" outlineLevel="0" collapsed="false">
      <c r="F800" s="12" t="str">
        <f aca="false">IF(AND(D800&lt;&gt;"",E800&lt;&gt;""),D800*E800,"")</f>
        <v/>
      </c>
    </row>
    <row r="801" customFormat="false" ht="15" hidden="false" customHeight="false" outlineLevel="0" collapsed="false">
      <c r="F801" s="7" t="str">
        <f aca="false">IF(AND(D801&lt;&gt;"",E801&lt;&gt;""),D801*E801,"")</f>
        <v/>
      </c>
    </row>
    <row r="802" customFormat="false" ht="15" hidden="false" customHeight="false" outlineLevel="0" collapsed="false">
      <c r="F802" s="12" t="str">
        <f aca="false">IF(AND(D802&lt;&gt;"",E802&lt;&gt;""),D802*E802,"")</f>
        <v/>
      </c>
    </row>
    <row r="803" customFormat="false" ht="15" hidden="false" customHeight="false" outlineLevel="0" collapsed="false">
      <c r="F803" s="7" t="str">
        <f aca="false">IF(AND(D803&lt;&gt;"",E803&lt;&gt;""),D803*E803,"")</f>
        <v/>
      </c>
    </row>
    <row r="804" customFormat="false" ht="15" hidden="false" customHeight="false" outlineLevel="0" collapsed="false">
      <c r="F804" s="12" t="str">
        <f aca="false">IF(AND(D804&lt;&gt;"",E804&lt;&gt;""),D804*E804,"")</f>
        <v/>
      </c>
    </row>
    <row r="805" customFormat="false" ht="15" hidden="false" customHeight="false" outlineLevel="0" collapsed="false">
      <c r="F805" s="7" t="str">
        <f aca="false">IF(AND(D805&lt;&gt;"",E805&lt;&gt;""),D805*E805,"")</f>
        <v/>
      </c>
    </row>
    <row r="806" customFormat="false" ht="15" hidden="false" customHeight="false" outlineLevel="0" collapsed="false">
      <c r="F806" s="12" t="str">
        <f aca="false">IF(AND(D806&lt;&gt;"",E806&lt;&gt;""),D806*E806,"")</f>
        <v/>
      </c>
    </row>
    <row r="807" customFormat="false" ht="15" hidden="false" customHeight="false" outlineLevel="0" collapsed="false">
      <c r="F807" s="7" t="str">
        <f aca="false">IF(AND(D807&lt;&gt;"",E807&lt;&gt;""),D807*E807,"")</f>
        <v/>
      </c>
    </row>
    <row r="808" customFormat="false" ht="15" hidden="false" customHeight="false" outlineLevel="0" collapsed="false">
      <c r="F808" s="12" t="str">
        <f aca="false">IF(AND(D808&lt;&gt;"",E808&lt;&gt;""),D808*E808,"")</f>
        <v/>
      </c>
    </row>
    <row r="809" customFormat="false" ht="15" hidden="false" customHeight="false" outlineLevel="0" collapsed="false">
      <c r="F809" s="7" t="str">
        <f aca="false">IF(AND(D809&lt;&gt;"",E809&lt;&gt;""),D809*E809,"")</f>
        <v/>
      </c>
    </row>
    <row r="810" customFormat="false" ht="15" hidden="false" customHeight="false" outlineLevel="0" collapsed="false">
      <c r="F810" s="12" t="str">
        <f aca="false">IF(AND(D810&lt;&gt;"",E810&lt;&gt;""),D810*E810,"")</f>
        <v/>
      </c>
    </row>
    <row r="811" customFormat="false" ht="15" hidden="false" customHeight="false" outlineLevel="0" collapsed="false">
      <c r="F811" s="7" t="str">
        <f aca="false">IF(AND(D811&lt;&gt;"",E811&lt;&gt;""),D811*E811,"")</f>
        <v/>
      </c>
    </row>
    <row r="812" customFormat="false" ht="15" hidden="false" customHeight="false" outlineLevel="0" collapsed="false">
      <c r="F812" s="12" t="str">
        <f aca="false">IF(AND(D812&lt;&gt;"",E812&lt;&gt;""),D812*E812,"")</f>
        <v/>
      </c>
    </row>
    <row r="813" customFormat="false" ht="15" hidden="false" customHeight="false" outlineLevel="0" collapsed="false">
      <c r="F813" s="7" t="str">
        <f aca="false">IF(AND(D813&lt;&gt;"",E813&lt;&gt;""),D813*E813,"")</f>
        <v/>
      </c>
    </row>
    <row r="814" customFormat="false" ht="15" hidden="false" customHeight="false" outlineLevel="0" collapsed="false">
      <c r="F814" s="12" t="str">
        <f aca="false">IF(AND(D814&lt;&gt;"",E814&lt;&gt;""),D814*E814,"")</f>
        <v/>
      </c>
    </row>
    <row r="815" customFormat="false" ht="15" hidden="false" customHeight="false" outlineLevel="0" collapsed="false">
      <c r="F815" s="7" t="str">
        <f aca="false">IF(AND(D815&lt;&gt;"",E815&lt;&gt;""),D815*E815,"")</f>
        <v/>
      </c>
    </row>
    <row r="816" customFormat="false" ht="15" hidden="false" customHeight="false" outlineLevel="0" collapsed="false">
      <c r="F816" s="12" t="str">
        <f aca="false">IF(AND(D816&lt;&gt;"",E816&lt;&gt;""),D816*E816,"")</f>
        <v/>
      </c>
    </row>
    <row r="817" customFormat="false" ht="15" hidden="false" customHeight="false" outlineLevel="0" collapsed="false">
      <c r="F817" s="7" t="str">
        <f aca="false">IF(AND(D817&lt;&gt;"",E817&lt;&gt;""),D817*E817,"")</f>
        <v/>
      </c>
    </row>
    <row r="818" customFormat="false" ht="15" hidden="false" customHeight="false" outlineLevel="0" collapsed="false">
      <c r="F818" s="12" t="str">
        <f aca="false">IF(AND(D818&lt;&gt;"",E818&lt;&gt;""),D818*E818,"")</f>
        <v/>
      </c>
    </row>
    <row r="819" customFormat="false" ht="15" hidden="false" customHeight="false" outlineLevel="0" collapsed="false">
      <c r="F819" s="7" t="str">
        <f aca="false">IF(AND(D819&lt;&gt;"",E819&lt;&gt;""),D819*E819,"")</f>
        <v/>
      </c>
    </row>
    <row r="820" customFormat="false" ht="15" hidden="false" customHeight="false" outlineLevel="0" collapsed="false">
      <c r="F820" s="12" t="str">
        <f aca="false">IF(AND(D820&lt;&gt;"",E820&lt;&gt;""),D820*E820,"")</f>
        <v/>
      </c>
    </row>
    <row r="821" customFormat="false" ht="15" hidden="false" customHeight="false" outlineLevel="0" collapsed="false">
      <c r="F821" s="7" t="str">
        <f aca="false">IF(AND(D821&lt;&gt;"",E821&lt;&gt;""),D821*E821,"")</f>
        <v/>
      </c>
    </row>
    <row r="822" customFormat="false" ht="15" hidden="false" customHeight="false" outlineLevel="0" collapsed="false">
      <c r="F822" s="12" t="str">
        <f aca="false">IF(AND(D822&lt;&gt;"",E822&lt;&gt;""),D822*E822,"")</f>
        <v/>
      </c>
    </row>
    <row r="823" customFormat="false" ht="15" hidden="false" customHeight="false" outlineLevel="0" collapsed="false">
      <c r="F823" s="7" t="str">
        <f aca="false">IF(AND(D823&lt;&gt;"",E823&lt;&gt;""),D823*E823,"")</f>
        <v/>
      </c>
    </row>
    <row r="824" customFormat="false" ht="15" hidden="false" customHeight="false" outlineLevel="0" collapsed="false">
      <c r="F824" s="12" t="str">
        <f aca="false">IF(AND(D824&lt;&gt;"",E824&lt;&gt;""),D824*E824,"")</f>
        <v/>
      </c>
    </row>
    <row r="825" customFormat="false" ht="15" hidden="false" customHeight="false" outlineLevel="0" collapsed="false">
      <c r="F825" s="7" t="str">
        <f aca="false">IF(AND(D825&lt;&gt;"",E825&lt;&gt;""),D825*E825,"")</f>
        <v/>
      </c>
    </row>
    <row r="826" customFormat="false" ht="15" hidden="false" customHeight="false" outlineLevel="0" collapsed="false">
      <c r="F826" s="12" t="str">
        <f aca="false">IF(AND(D826&lt;&gt;"",E826&lt;&gt;""),D826*E826,"")</f>
        <v/>
      </c>
    </row>
    <row r="827" customFormat="false" ht="15" hidden="false" customHeight="false" outlineLevel="0" collapsed="false">
      <c r="F827" s="7" t="str">
        <f aca="false">IF(AND(D827&lt;&gt;"",E827&lt;&gt;""),D827*E827,"")</f>
        <v/>
      </c>
    </row>
    <row r="828" customFormat="false" ht="15" hidden="false" customHeight="false" outlineLevel="0" collapsed="false">
      <c r="F828" s="12" t="str">
        <f aca="false">IF(AND(D828&lt;&gt;"",E828&lt;&gt;""),D828*E828,"")</f>
        <v/>
      </c>
    </row>
    <row r="829" customFormat="false" ht="15" hidden="false" customHeight="false" outlineLevel="0" collapsed="false">
      <c r="F829" s="7" t="str">
        <f aca="false">IF(AND(D829&lt;&gt;"",E829&lt;&gt;""),D829*E829,"")</f>
        <v/>
      </c>
    </row>
    <row r="830" customFormat="false" ht="15" hidden="false" customHeight="false" outlineLevel="0" collapsed="false">
      <c r="F830" s="12" t="str">
        <f aca="false">IF(AND(D830&lt;&gt;"",E830&lt;&gt;""),D830*E830,"")</f>
        <v/>
      </c>
    </row>
    <row r="831" customFormat="false" ht="15" hidden="false" customHeight="false" outlineLevel="0" collapsed="false">
      <c r="F831" s="7" t="str">
        <f aca="false">IF(AND(D831&lt;&gt;"",E831&lt;&gt;""),D831*E831,"")</f>
        <v/>
      </c>
    </row>
    <row r="832" customFormat="false" ht="15" hidden="false" customHeight="false" outlineLevel="0" collapsed="false">
      <c r="F832" s="12" t="str">
        <f aca="false">IF(AND(D832&lt;&gt;"",E832&lt;&gt;""),D832*E832,"")</f>
        <v/>
      </c>
    </row>
    <row r="833" customFormat="false" ht="15" hidden="false" customHeight="false" outlineLevel="0" collapsed="false">
      <c r="F833" s="7" t="str">
        <f aca="false">IF(AND(D833&lt;&gt;"",E833&lt;&gt;""),D833*E833,"")</f>
        <v/>
      </c>
    </row>
    <row r="834" customFormat="false" ht="15" hidden="false" customHeight="false" outlineLevel="0" collapsed="false">
      <c r="F834" s="12" t="str">
        <f aca="false">IF(AND(D834&lt;&gt;"",E834&lt;&gt;""),D834*E834,"")</f>
        <v/>
      </c>
    </row>
    <row r="835" customFormat="false" ht="15" hidden="false" customHeight="false" outlineLevel="0" collapsed="false">
      <c r="F835" s="7" t="str">
        <f aca="false">IF(AND(D835&lt;&gt;"",E835&lt;&gt;""),D835*E835,"")</f>
        <v/>
      </c>
    </row>
    <row r="836" customFormat="false" ht="15" hidden="false" customHeight="false" outlineLevel="0" collapsed="false">
      <c r="F836" s="12" t="str">
        <f aca="false">IF(AND(D836&lt;&gt;"",E836&lt;&gt;""),D836*E836,"")</f>
        <v/>
      </c>
    </row>
    <row r="837" customFormat="false" ht="15" hidden="false" customHeight="false" outlineLevel="0" collapsed="false">
      <c r="F837" s="7" t="str">
        <f aca="false">IF(AND(D837&lt;&gt;"",E837&lt;&gt;""),D837*E837,"")</f>
        <v/>
      </c>
    </row>
    <row r="838" customFormat="false" ht="15" hidden="false" customHeight="false" outlineLevel="0" collapsed="false">
      <c r="F838" s="12" t="str">
        <f aca="false">IF(AND(D838&lt;&gt;"",E838&lt;&gt;""),D838*E838,"")</f>
        <v/>
      </c>
    </row>
    <row r="839" customFormat="false" ht="15" hidden="false" customHeight="false" outlineLevel="0" collapsed="false">
      <c r="F839" s="7" t="str">
        <f aca="false">IF(AND(D839&lt;&gt;"",E839&lt;&gt;""),D839*E839,"")</f>
        <v/>
      </c>
    </row>
    <row r="840" customFormat="false" ht="15" hidden="false" customHeight="false" outlineLevel="0" collapsed="false">
      <c r="F840" s="12" t="str">
        <f aca="false">IF(AND(D840&lt;&gt;"",E840&lt;&gt;""),D840*E840,"")</f>
        <v/>
      </c>
    </row>
    <row r="841" customFormat="false" ht="15" hidden="false" customHeight="false" outlineLevel="0" collapsed="false">
      <c r="F841" s="7" t="str">
        <f aca="false">IF(AND(D841&lt;&gt;"",E841&lt;&gt;""),D841*E841,"")</f>
        <v/>
      </c>
    </row>
    <row r="842" customFormat="false" ht="15" hidden="false" customHeight="false" outlineLevel="0" collapsed="false">
      <c r="F842" s="12" t="str">
        <f aca="false">IF(AND(D842&lt;&gt;"",E842&lt;&gt;""),D842*E842,"")</f>
        <v/>
      </c>
    </row>
    <row r="843" customFormat="false" ht="15" hidden="false" customHeight="false" outlineLevel="0" collapsed="false">
      <c r="F843" s="7" t="str">
        <f aca="false">IF(AND(D843&lt;&gt;"",E843&lt;&gt;""),D843*E843,"")</f>
        <v/>
      </c>
    </row>
    <row r="844" customFormat="false" ht="15" hidden="false" customHeight="false" outlineLevel="0" collapsed="false">
      <c r="F844" s="12" t="str">
        <f aca="false">IF(AND(D844&lt;&gt;"",E844&lt;&gt;""),D844*E844,"")</f>
        <v/>
      </c>
    </row>
    <row r="845" customFormat="false" ht="15" hidden="false" customHeight="false" outlineLevel="0" collapsed="false">
      <c r="F845" s="7" t="str">
        <f aca="false">IF(AND(D845&lt;&gt;"",E845&lt;&gt;""),D845*E845,"")</f>
        <v/>
      </c>
    </row>
    <row r="846" customFormat="false" ht="15" hidden="false" customHeight="false" outlineLevel="0" collapsed="false">
      <c r="F846" s="12" t="str">
        <f aca="false">IF(AND(D846&lt;&gt;"",E846&lt;&gt;""),D846*E846,"")</f>
        <v/>
      </c>
    </row>
    <row r="847" customFormat="false" ht="15" hidden="false" customHeight="false" outlineLevel="0" collapsed="false">
      <c r="F847" s="7" t="str">
        <f aca="false">IF(AND(D847&lt;&gt;"",E847&lt;&gt;""),D847*E847,"")</f>
        <v/>
      </c>
    </row>
    <row r="848" customFormat="false" ht="15" hidden="false" customHeight="false" outlineLevel="0" collapsed="false">
      <c r="F848" s="12" t="str">
        <f aca="false">IF(AND(D848&lt;&gt;"",E848&lt;&gt;""),D848*E848,"")</f>
        <v/>
      </c>
    </row>
    <row r="849" customFormat="false" ht="15" hidden="false" customHeight="false" outlineLevel="0" collapsed="false">
      <c r="F849" s="7" t="str">
        <f aca="false">IF(AND(D849&lt;&gt;"",E849&lt;&gt;""),D849*E849,"")</f>
        <v/>
      </c>
    </row>
    <row r="850" customFormat="false" ht="15" hidden="false" customHeight="false" outlineLevel="0" collapsed="false">
      <c r="F850" s="12" t="str">
        <f aca="false">IF(AND(D850&lt;&gt;"",E850&lt;&gt;""),D850*E850,"")</f>
        <v/>
      </c>
    </row>
    <row r="851" customFormat="false" ht="15" hidden="false" customHeight="false" outlineLevel="0" collapsed="false">
      <c r="F851" s="7" t="str">
        <f aca="false">IF(AND(D851&lt;&gt;"",E851&lt;&gt;""),D851*E851,"")</f>
        <v/>
      </c>
    </row>
    <row r="852" customFormat="false" ht="15" hidden="false" customHeight="false" outlineLevel="0" collapsed="false">
      <c r="F852" s="12" t="str">
        <f aca="false">IF(AND(D852&lt;&gt;"",E852&lt;&gt;""),D852*E852,"")</f>
        <v/>
      </c>
    </row>
    <row r="853" customFormat="false" ht="15" hidden="false" customHeight="false" outlineLevel="0" collapsed="false">
      <c r="F853" s="7" t="str">
        <f aca="false">IF(AND(D853&lt;&gt;"",E853&lt;&gt;""),D853*E853,"")</f>
        <v/>
      </c>
    </row>
    <row r="854" customFormat="false" ht="15" hidden="false" customHeight="false" outlineLevel="0" collapsed="false">
      <c r="F854" s="12" t="str">
        <f aca="false">IF(AND(D854&lt;&gt;"",E854&lt;&gt;""),D854*E854,"")</f>
        <v/>
      </c>
    </row>
    <row r="855" customFormat="false" ht="15" hidden="false" customHeight="false" outlineLevel="0" collapsed="false">
      <c r="F855" s="7" t="str">
        <f aca="false">IF(AND(D855&lt;&gt;"",E855&lt;&gt;""),D855*E855,"")</f>
        <v/>
      </c>
    </row>
    <row r="856" customFormat="false" ht="15" hidden="false" customHeight="false" outlineLevel="0" collapsed="false">
      <c r="F856" s="12" t="str">
        <f aca="false">IF(AND(D856&lt;&gt;"",E856&lt;&gt;""),D856*E856,"")</f>
        <v/>
      </c>
    </row>
    <row r="857" customFormat="false" ht="15" hidden="false" customHeight="false" outlineLevel="0" collapsed="false">
      <c r="F857" s="7" t="str">
        <f aca="false">IF(AND(D857&lt;&gt;"",E857&lt;&gt;""),D857*E857,"")</f>
        <v/>
      </c>
    </row>
    <row r="858" customFormat="false" ht="15" hidden="false" customHeight="false" outlineLevel="0" collapsed="false">
      <c r="F858" s="12" t="str">
        <f aca="false">IF(AND(D858&lt;&gt;"",E858&lt;&gt;""),D858*E858,"")</f>
        <v/>
      </c>
    </row>
    <row r="859" customFormat="false" ht="15" hidden="false" customHeight="false" outlineLevel="0" collapsed="false">
      <c r="F859" s="7" t="str">
        <f aca="false">IF(AND(D859&lt;&gt;"",E859&lt;&gt;""),D859*E859,"")</f>
        <v/>
      </c>
    </row>
    <row r="860" customFormat="false" ht="15" hidden="false" customHeight="false" outlineLevel="0" collapsed="false">
      <c r="F860" s="12" t="str">
        <f aca="false">IF(AND(D860&lt;&gt;"",E860&lt;&gt;""),D860*E860,"")</f>
        <v/>
      </c>
    </row>
    <row r="861" customFormat="false" ht="15" hidden="false" customHeight="false" outlineLevel="0" collapsed="false">
      <c r="F861" s="7" t="str">
        <f aca="false">IF(AND(D861&lt;&gt;"",E861&lt;&gt;""),D861*E861,"")</f>
        <v/>
      </c>
    </row>
    <row r="862" customFormat="false" ht="15" hidden="false" customHeight="false" outlineLevel="0" collapsed="false">
      <c r="F862" s="12" t="str">
        <f aca="false">IF(AND(D862&lt;&gt;"",E862&lt;&gt;""),D862*E862,"")</f>
        <v/>
      </c>
    </row>
    <row r="863" customFormat="false" ht="15" hidden="false" customHeight="false" outlineLevel="0" collapsed="false">
      <c r="F863" s="7" t="str">
        <f aca="false">IF(AND(D863&lt;&gt;"",E863&lt;&gt;""),D863*E863,"")</f>
        <v/>
      </c>
    </row>
    <row r="864" customFormat="false" ht="15" hidden="false" customHeight="false" outlineLevel="0" collapsed="false">
      <c r="F864" s="12" t="str">
        <f aca="false">IF(AND(D864&lt;&gt;"",E864&lt;&gt;""),D864*E864,"")</f>
        <v/>
      </c>
    </row>
    <row r="865" customFormat="false" ht="15" hidden="false" customHeight="false" outlineLevel="0" collapsed="false">
      <c r="F865" s="7" t="str">
        <f aca="false">IF(AND(D865&lt;&gt;"",E865&lt;&gt;""),D865*E865,"")</f>
        <v/>
      </c>
    </row>
    <row r="866" customFormat="false" ht="15" hidden="false" customHeight="false" outlineLevel="0" collapsed="false">
      <c r="F866" s="12" t="str">
        <f aca="false">IF(AND(D866&lt;&gt;"",E866&lt;&gt;""),D866*E866,"")</f>
        <v/>
      </c>
    </row>
    <row r="867" customFormat="false" ht="15" hidden="false" customHeight="false" outlineLevel="0" collapsed="false">
      <c r="F867" s="7" t="str">
        <f aca="false">IF(AND(D867&lt;&gt;"",E867&lt;&gt;""),D867*E867,"")</f>
        <v/>
      </c>
    </row>
    <row r="868" customFormat="false" ht="15" hidden="false" customHeight="false" outlineLevel="0" collapsed="false">
      <c r="F868" s="12" t="str">
        <f aca="false">IF(AND(D868&lt;&gt;"",E868&lt;&gt;""),D868*E868,"")</f>
        <v/>
      </c>
    </row>
    <row r="869" customFormat="false" ht="15" hidden="false" customHeight="false" outlineLevel="0" collapsed="false">
      <c r="F869" s="7" t="str">
        <f aca="false">IF(AND(D869&lt;&gt;"",E869&lt;&gt;""),D869*E869,"")</f>
        <v/>
      </c>
    </row>
    <row r="870" customFormat="false" ht="15" hidden="false" customHeight="false" outlineLevel="0" collapsed="false">
      <c r="F870" s="12" t="str">
        <f aca="false">IF(AND(D870&lt;&gt;"",E870&lt;&gt;""),D870*E870,"")</f>
        <v/>
      </c>
    </row>
    <row r="871" customFormat="false" ht="15" hidden="false" customHeight="false" outlineLevel="0" collapsed="false">
      <c r="F871" s="7" t="str">
        <f aca="false">IF(AND(D871&lt;&gt;"",E871&lt;&gt;""),D871*E871,"")</f>
        <v/>
      </c>
    </row>
    <row r="872" customFormat="false" ht="15" hidden="false" customHeight="false" outlineLevel="0" collapsed="false">
      <c r="F872" s="12" t="str">
        <f aca="false">IF(AND(D872&lt;&gt;"",E872&lt;&gt;""),D872*E872,"")</f>
        <v/>
      </c>
    </row>
    <row r="873" customFormat="false" ht="15" hidden="false" customHeight="false" outlineLevel="0" collapsed="false">
      <c r="F873" s="7" t="str">
        <f aca="false">IF(AND(D873&lt;&gt;"",E873&lt;&gt;""),D873*E873,"")</f>
        <v/>
      </c>
    </row>
    <row r="874" customFormat="false" ht="15" hidden="false" customHeight="false" outlineLevel="0" collapsed="false">
      <c r="F874" s="12" t="str">
        <f aca="false">IF(AND(D874&lt;&gt;"",E874&lt;&gt;""),D874*E874,"")</f>
        <v/>
      </c>
    </row>
    <row r="875" customFormat="false" ht="15" hidden="false" customHeight="false" outlineLevel="0" collapsed="false">
      <c r="F875" s="7" t="str">
        <f aca="false">IF(AND(D875&lt;&gt;"",E875&lt;&gt;""),D875*E875,"")</f>
        <v/>
      </c>
    </row>
    <row r="876" customFormat="false" ht="15" hidden="false" customHeight="false" outlineLevel="0" collapsed="false">
      <c r="F876" s="12" t="str">
        <f aca="false">IF(AND(D876&lt;&gt;"",E876&lt;&gt;""),D876*E876,"")</f>
        <v/>
      </c>
    </row>
    <row r="877" customFormat="false" ht="15" hidden="false" customHeight="false" outlineLevel="0" collapsed="false">
      <c r="F877" s="7" t="str">
        <f aca="false">IF(AND(D877&lt;&gt;"",E877&lt;&gt;""),D877*E877,"")</f>
        <v/>
      </c>
    </row>
    <row r="878" customFormat="false" ht="15" hidden="false" customHeight="false" outlineLevel="0" collapsed="false">
      <c r="F878" s="12" t="str">
        <f aca="false">IF(AND(D878&lt;&gt;"",E878&lt;&gt;""),D878*E878,"")</f>
        <v/>
      </c>
    </row>
    <row r="879" customFormat="false" ht="15" hidden="false" customHeight="false" outlineLevel="0" collapsed="false">
      <c r="F879" s="7" t="str">
        <f aca="false">IF(AND(D879&lt;&gt;"",E879&lt;&gt;""),D879*E879,"")</f>
        <v/>
      </c>
    </row>
    <row r="880" customFormat="false" ht="15" hidden="false" customHeight="false" outlineLevel="0" collapsed="false">
      <c r="F880" s="12" t="str">
        <f aca="false">IF(AND(D880&lt;&gt;"",E880&lt;&gt;""),D880*E880,"")</f>
        <v/>
      </c>
    </row>
    <row r="881" customFormat="false" ht="15" hidden="false" customHeight="false" outlineLevel="0" collapsed="false">
      <c r="F881" s="7" t="str">
        <f aca="false">IF(AND(D881&lt;&gt;"",E881&lt;&gt;""),D881*E881,"")</f>
        <v/>
      </c>
    </row>
    <row r="882" customFormat="false" ht="15" hidden="false" customHeight="false" outlineLevel="0" collapsed="false">
      <c r="F882" s="12" t="str">
        <f aca="false">IF(AND(D882&lt;&gt;"",E882&lt;&gt;""),D882*E882,"")</f>
        <v/>
      </c>
    </row>
    <row r="883" customFormat="false" ht="15" hidden="false" customHeight="false" outlineLevel="0" collapsed="false">
      <c r="F883" s="7" t="str">
        <f aca="false">IF(AND(D883&lt;&gt;"",E883&lt;&gt;""),D883*E883,"")</f>
        <v/>
      </c>
    </row>
    <row r="884" customFormat="false" ht="15" hidden="false" customHeight="false" outlineLevel="0" collapsed="false">
      <c r="F884" s="12" t="str">
        <f aca="false">IF(AND(D884&lt;&gt;"",E884&lt;&gt;""),D884*E884,"")</f>
        <v/>
      </c>
    </row>
    <row r="885" customFormat="false" ht="15" hidden="false" customHeight="false" outlineLevel="0" collapsed="false">
      <c r="F885" s="7" t="str">
        <f aca="false">IF(AND(D885&lt;&gt;"",E885&lt;&gt;""),D885*E885,"")</f>
        <v/>
      </c>
    </row>
    <row r="886" customFormat="false" ht="15" hidden="false" customHeight="false" outlineLevel="0" collapsed="false">
      <c r="F886" s="12" t="str">
        <f aca="false">IF(AND(D886&lt;&gt;"",E886&lt;&gt;""),D886*E886,"")</f>
        <v/>
      </c>
    </row>
    <row r="887" customFormat="false" ht="15" hidden="false" customHeight="false" outlineLevel="0" collapsed="false">
      <c r="F887" s="7" t="str">
        <f aca="false">IF(AND(D887&lt;&gt;"",E887&lt;&gt;""),D887*E887,"")</f>
        <v/>
      </c>
    </row>
    <row r="888" customFormat="false" ht="15" hidden="false" customHeight="false" outlineLevel="0" collapsed="false">
      <c r="F888" s="12" t="str">
        <f aca="false">IF(AND(D888&lt;&gt;"",E888&lt;&gt;""),D888*E888,"")</f>
        <v/>
      </c>
    </row>
    <row r="889" customFormat="false" ht="15" hidden="false" customHeight="false" outlineLevel="0" collapsed="false">
      <c r="F889" s="7" t="str">
        <f aca="false">IF(AND(D889&lt;&gt;"",E889&lt;&gt;""),D889*E889,"")</f>
        <v/>
      </c>
    </row>
    <row r="890" customFormat="false" ht="15" hidden="false" customHeight="false" outlineLevel="0" collapsed="false">
      <c r="F890" s="12" t="str">
        <f aca="false">IF(AND(D890&lt;&gt;"",E890&lt;&gt;""),D890*E890,"")</f>
        <v/>
      </c>
    </row>
    <row r="891" customFormat="false" ht="15" hidden="false" customHeight="false" outlineLevel="0" collapsed="false">
      <c r="F891" s="7" t="str">
        <f aca="false">IF(AND(D891&lt;&gt;"",E891&lt;&gt;""),D891*E891,"")</f>
        <v/>
      </c>
    </row>
    <row r="892" customFormat="false" ht="15" hidden="false" customHeight="false" outlineLevel="0" collapsed="false">
      <c r="F892" s="12" t="str">
        <f aca="false">IF(AND(D892&lt;&gt;"",E892&lt;&gt;""),D892*E892,"")</f>
        <v/>
      </c>
    </row>
    <row r="893" customFormat="false" ht="15" hidden="false" customHeight="false" outlineLevel="0" collapsed="false">
      <c r="F893" s="7" t="str">
        <f aca="false">IF(AND(D893&lt;&gt;"",E893&lt;&gt;""),D893*E893,"")</f>
        <v/>
      </c>
    </row>
    <row r="894" customFormat="false" ht="15" hidden="false" customHeight="false" outlineLevel="0" collapsed="false">
      <c r="F894" s="12" t="str">
        <f aca="false">IF(AND(D894&lt;&gt;"",E894&lt;&gt;""),D894*E894,"")</f>
        <v/>
      </c>
    </row>
    <row r="895" customFormat="false" ht="15" hidden="false" customHeight="false" outlineLevel="0" collapsed="false">
      <c r="F895" s="7" t="str">
        <f aca="false">IF(AND(D895&lt;&gt;"",E895&lt;&gt;""),D895*E895,"")</f>
        <v/>
      </c>
    </row>
    <row r="896" customFormat="false" ht="15" hidden="false" customHeight="false" outlineLevel="0" collapsed="false">
      <c r="F896" s="12" t="str">
        <f aca="false">IF(AND(D896&lt;&gt;"",E896&lt;&gt;""),D896*E896,"")</f>
        <v/>
      </c>
    </row>
    <row r="897" customFormat="false" ht="15" hidden="false" customHeight="false" outlineLevel="0" collapsed="false">
      <c r="F897" s="7" t="str">
        <f aca="false">IF(AND(D897&lt;&gt;"",E897&lt;&gt;""),D897*E897,"")</f>
        <v/>
      </c>
    </row>
    <row r="898" customFormat="false" ht="15" hidden="false" customHeight="false" outlineLevel="0" collapsed="false">
      <c r="F898" s="12" t="str">
        <f aca="false">IF(AND(D898&lt;&gt;"",E898&lt;&gt;""),D898*E898,"")</f>
        <v/>
      </c>
    </row>
    <row r="899" customFormat="false" ht="15" hidden="false" customHeight="false" outlineLevel="0" collapsed="false">
      <c r="F899" s="7" t="str">
        <f aca="false">IF(AND(D899&lt;&gt;"",E899&lt;&gt;""),D899*E899,"")</f>
        <v/>
      </c>
    </row>
    <row r="900" customFormat="false" ht="15" hidden="false" customHeight="false" outlineLevel="0" collapsed="false">
      <c r="F900" s="12" t="str">
        <f aca="false">IF(AND(D900&lt;&gt;"",E900&lt;&gt;""),D900*E900,"")</f>
        <v/>
      </c>
    </row>
    <row r="901" customFormat="false" ht="15" hidden="false" customHeight="false" outlineLevel="0" collapsed="false">
      <c r="F901" s="7" t="str">
        <f aca="false">IF(AND(D901&lt;&gt;"",E901&lt;&gt;""),D901*E901,"")</f>
        <v/>
      </c>
    </row>
    <row r="902" customFormat="false" ht="15" hidden="false" customHeight="false" outlineLevel="0" collapsed="false">
      <c r="F902" s="12" t="str">
        <f aca="false">IF(AND(D902&lt;&gt;"",E902&lt;&gt;""),D902*E902,"")</f>
        <v/>
      </c>
    </row>
    <row r="903" customFormat="false" ht="15" hidden="false" customHeight="false" outlineLevel="0" collapsed="false">
      <c r="F903" s="7" t="str">
        <f aca="false">IF(AND(D903&lt;&gt;"",E903&lt;&gt;""),D903*E903,"")</f>
        <v/>
      </c>
    </row>
    <row r="904" customFormat="false" ht="15" hidden="false" customHeight="false" outlineLevel="0" collapsed="false">
      <c r="F904" s="12" t="str">
        <f aca="false">IF(AND(D904&lt;&gt;"",E904&lt;&gt;""),D904*E904,"")</f>
        <v/>
      </c>
    </row>
    <row r="905" customFormat="false" ht="15" hidden="false" customHeight="false" outlineLevel="0" collapsed="false">
      <c r="F905" s="7" t="str">
        <f aca="false">IF(AND(D905&lt;&gt;"",E905&lt;&gt;""),D905*E905,"")</f>
        <v/>
      </c>
    </row>
    <row r="906" customFormat="false" ht="15" hidden="false" customHeight="false" outlineLevel="0" collapsed="false">
      <c r="F906" s="12" t="str">
        <f aca="false">IF(AND(D906&lt;&gt;"",E906&lt;&gt;""),D906*E906,"")</f>
        <v/>
      </c>
    </row>
    <row r="907" customFormat="false" ht="15" hidden="false" customHeight="false" outlineLevel="0" collapsed="false">
      <c r="F907" s="7" t="str">
        <f aca="false">IF(AND(D907&lt;&gt;"",E907&lt;&gt;""),D907*E907,"")</f>
        <v/>
      </c>
    </row>
    <row r="908" customFormat="false" ht="15" hidden="false" customHeight="false" outlineLevel="0" collapsed="false">
      <c r="F908" s="12" t="str">
        <f aca="false">IF(AND(D908&lt;&gt;"",E908&lt;&gt;""),D908*E908,"")</f>
        <v/>
      </c>
    </row>
    <row r="909" customFormat="false" ht="15" hidden="false" customHeight="false" outlineLevel="0" collapsed="false">
      <c r="F909" s="7" t="str">
        <f aca="false">IF(AND(D909&lt;&gt;"",E909&lt;&gt;""),D909*E909,"")</f>
        <v/>
      </c>
    </row>
    <row r="910" customFormat="false" ht="15" hidden="false" customHeight="false" outlineLevel="0" collapsed="false">
      <c r="F910" s="12" t="str">
        <f aca="false">IF(AND(D910&lt;&gt;"",E910&lt;&gt;""),D910*E910,"")</f>
        <v/>
      </c>
    </row>
    <row r="911" customFormat="false" ht="15" hidden="false" customHeight="false" outlineLevel="0" collapsed="false">
      <c r="F911" s="7" t="str">
        <f aca="false">IF(AND(D911&lt;&gt;"",E911&lt;&gt;""),D911*E911,"")</f>
        <v/>
      </c>
    </row>
    <row r="912" customFormat="false" ht="15" hidden="false" customHeight="false" outlineLevel="0" collapsed="false">
      <c r="F912" s="12" t="str">
        <f aca="false">IF(AND(D912&lt;&gt;"",E912&lt;&gt;""),D912*E912,"")</f>
        <v/>
      </c>
    </row>
    <row r="913" customFormat="false" ht="15" hidden="false" customHeight="false" outlineLevel="0" collapsed="false">
      <c r="F913" s="7" t="str">
        <f aca="false">IF(AND(D913&lt;&gt;"",E913&lt;&gt;""),D913*E913,"")</f>
        <v/>
      </c>
    </row>
    <row r="914" customFormat="false" ht="15" hidden="false" customHeight="false" outlineLevel="0" collapsed="false">
      <c r="F914" s="12" t="str">
        <f aca="false">IF(AND(D914&lt;&gt;"",E914&lt;&gt;""),D914*E914,"")</f>
        <v/>
      </c>
    </row>
    <row r="915" customFormat="false" ht="15" hidden="false" customHeight="false" outlineLevel="0" collapsed="false">
      <c r="F915" s="7" t="str">
        <f aca="false">IF(AND(D915&lt;&gt;"",E915&lt;&gt;""),D915*E915,"")</f>
        <v/>
      </c>
    </row>
    <row r="916" customFormat="false" ht="15" hidden="false" customHeight="false" outlineLevel="0" collapsed="false">
      <c r="F916" s="12" t="str">
        <f aca="false">IF(AND(D916&lt;&gt;"",E916&lt;&gt;""),D916*E916,"")</f>
        <v/>
      </c>
    </row>
    <row r="917" customFormat="false" ht="15" hidden="false" customHeight="false" outlineLevel="0" collapsed="false">
      <c r="F917" s="7" t="str">
        <f aca="false">IF(AND(D917&lt;&gt;"",E917&lt;&gt;""),D917*E917,"")</f>
        <v/>
      </c>
    </row>
    <row r="918" customFormat="false" ht="15" hidden="false" customHeight="false" outlineLevel="0" collapsed="false">
      <c r="F918" s="12" t="str">
        <f aca="false">IF(AND(D918&lt;&gt;"",E918&lt;&gt;""),D918*E918,"")</f>
        <v/>
      </c>
    </row>
    <row r="919" customFormat="false" ht="15" hidden="false" customHeight="false" outlineLevel="0" collapsed="false">
      <c r="F919" s="7" t="str">
        <f aca="false">IF(AND(D919&lt;&gt;"",E919&lt;&gt;""),D919*E919,"")</f>
        <v/>
      </c>
    </row>
    <row r="920" customFormat="false" ht="15" hidden="false" customHeight="false" outlineLevel="0" collapsed="false">
      <c r="F920" s="12" t="str">
        <f aca="false">IF(AND(D920&lt;&gt;"",E920&lt;&gt;""),D920*E920,"")</f>
        <v/>
      </c>
    </row>
    <row r="921" customFormat="false" ht="15" hidden="false" customHeight="false" outlineLevel="0" collapsed="false">
      <c r="F921" s="7" t="str">
        <f aca="false">IF(AND(D921&lt;&gt;"",E921&lt;&gt;""),D921*E921,"")</f>
        <v/>
      </c>
    </row>
    <row r="922" customFormat="false" ht="15" hidden="false" customHeight="false" outlineLevel="0" collapsed="false">
      <c r="F922" s="12" t="str">
        <f aca="false">IF(AND(D922&lt;&gt;"",E922&lt;&gt;""),D922*E922,"")</f>
        <v/>
      </c>
    </row>
    <row r="923" customFormat="false" ht="15" hidden="false" customHeight="false" outlineLevel="0" collapsed="false">
      <c r="F923" s="7" t="str">
        <f aca="false">IF(AND(D923&lt;&gt;"",E923&lt;&gt;""),D923*E923,"")</f>
        <v/>
      </c>
    </row>
    <row r="924" customFormat="false" ht="15" hidden="false" customHeight="false" outlineLevel="0" collapsed="false">
      <c r="F924" s="12" t="str">
        <f aca="false">IF(AND(D924&lt;&gt;"",E924&lt;&gt;""),D924*E924,"")</f>
        <v/>
      </c>
    </row>
    <row r="925" customFormat="false" ht="15" hidden="false" customHeight="false" outlineLevel="0" collapsed="false">
      <c r="F925" s="7" t="str">
        <f aca="false">IF(AND(D925&lt;&gt;"",E925&lt;&gt;""),D925*E925,"")</f>
        <v/>
      </c>
    </row>
    <row r="926" customFormat="false" ht="15" hidden="false" customHeight="false" outlineLevel="0" collapsed="false">
      <c r="F926" s="12" t="str">
        <f aca="false">IF(AND(D926&lt;&gt;"",E926&lt;&gt;""),D926*E926,"")</f>
        <v/>
      </c>
    </row>
    <row r="927" customFormat="false" ht="15" hidden="false" customHeight="false" outlineLevel="0" collapsed="false">
      <c r="F927" s="7" t="str">
        <f aca="false">IF(AND(D927&lt;&gt;"",E927&lt;&gt;""),D927*E927,"")</f>
        <v/>
      </c>
    </row>
    <row r="928" customFormat="false" ht="15" hidden="false" customHeight="false" outlineLevel="0" collapsed="false">
      <c r="F928" s="12" t="str">
        <f aca="false">IF(AND(D928&lt;&gt;"",E928&lt;&gt;""),D928*E928,"")</f>
        <v/>
      </c>
    </row>
    <row r="929" customFormat="false" ht="15" hidden="false" customHeight="false" outlineLevel="0" collapsed="false">
      <c r="F929" s="7" t="str">
        <f aca="false">IF(AND(D929&lt;&gt;"",E929&lt;&gt;""),D929*E929,"")</f>
        <v/>
      </c>
    </row>
    <row r="930" customFormat="false" ht="15" hidden="false" customHeight="false" outlineLevel="0" collapsed="false">
      <c r="F930" s="12" t="str">
        <f aca="false">IF(AND(D930&lt;&gt;"",E930&lt;&gt;""),D930*E930,"")</f>
        <v/>
      </c>
    </row>
    <row r="931" customFormat="false" ht="15" hidden="false" customHeight="false" outlineLevel="0" collapsed="false">
      <c r="F931" s="7" t="str">
        <f aca="false">IF(AND(D931&lt;&gt;"",E931&lt;&gt;""),D931*E931,"")</f>
        <v/>
      </c>
    </row>
    <row r="932" customFormat="false" ht="15" hidden="false" customHeight="false" outlineLevel="0" collapsed="false">
      <c r="F932" s="12" t="str">
        <f aca="false">IF(AND(D932&lt;&gt;"",E932&lt;&gt;""),D932*E932,"")</f>
        <v/>
      </c>
    </row>
    <row r="933" customFormat="false" ht="15" hidden="false" customHeight="false" outlineLevel="0" collapsed="false">
      <c r="F933" s="7" t="str">
        <f aca="false">IF(AND(D933&lt;&gt;"",E933&lt;&gt;""),D933*E933,"")</f>
        <v/>
      </c>
    </row>
    <row r="934" customFormat="false" ht="15" hidden="false" customHeight="false" outlineLevel="0" collapsed="false">
      <c r="F934" s="12" t="str">
        <f aca="false">IF(AND(D934&lt;&gt;"",E934&lt;&gt;""),D934*E934,"")</f>
        <v/>
      </c>
    </row>
    <row r="935" customFormat="false" ht="15" hidden="false" customHeight="false" outlineLevel="0" collapsed="false">
      <c r="F935" s="7" t="str">
        <f aca="false">IF(AND(D935&lt;&gt;"",E935&lt;&gt;""),D935*E935,"")</f>
        <v/>
      </c>
    </row>
    <row r="936" customFormat="false" ht="15" hidden="false" customHeight="false" outlineLevel="0" collapsed="false">
      <c r="F936" s="12" t="str">
        <f aca="false">IF(AND(D936&lt;&gt;"",E936&lt;&gt;""),D936*E936,"")</f>
        <v/>
      </c>
    </row>
    <row r="937" customFormat="false" ht="15" hidden="false" customHeight="false" outlineLevel="0" collapsed="false">
      <c r="F937" s="7" t="str">
        <f aca="false">IF(AND(D937&lt;&gt;"",E937&lt;&gt;""),D937*E937,"")</f>
        <v/>
      </c>
    </row>
    <row r="938" customFormat="false" ht="15" hidden="false" customHeight="false" outlineLevel="0" collapsed="false">
      <c r="F938" s="12" t="str">
        <f aca="false">IF(AND(D938&lt;&gt;"",E938&lt;&gt;""),D938*E938,"")</f>
        <v/>
      </c>
    </row>
    <row r="939" customFormat="false" ht="15" hidden="false" customHeight="false" outlineLevel="0" collapsed="false">
      <c r="F939" s="7" t="str">
        <f aca="false">IF(AND(D939&lt;&gt;"",E939&lt;&gt;""),D939*E939,"")</f>
        <v/>
      </c>
    </row>
    <row r="940" customFormat="false" ht="15" hidden="false" customHeight="false" outlineLevel="0" collapsed="false">
      <c r="F940" s="12" t="str">
        <f aca="false">IF(AND(D940&lt;&gt;"",E940&lt;&gt;""),D940*E940,"")</f>
        <v/>
      </c>
    </row>
    <row r="941" customFormat="false" ht="15" hidden="false" customHeight="false" outlineLevel="0" collapsed="false">
      <c r="F941" s="7" t="str">
        <f aca="false">IF(AND(D941&lt;&gt;"",E941&lt;&gt;""),D941*E941,"")</f>
        <v/>
      </c>
    </row>
    <row r="942" customFormat="false" ht="15" hidden="false" customHeight="false" outlineLevel="0" collapsed="false">
      <c r="F942" s="12" t="str">
        <f aca="false">IF(AND(D942&lt;&gt;"",E942&lt;&gt;""),D942*E942,"")</f>
        <v/>
      </c>
    </row>
    <row r="943" customFormat="false" ht="15" hidden="false" customHeight="false" outlineLevel="0" collapsed="false">
      <c r="F943" s="7" t="str">
        <f aca="false">IF(AND(D943&lt;&gt;"",E943&lt;&gt;""),D943*E943,"")</f>
        <v/>
      </c>
    </row>
    <row r="944" customFormat="false" ht="15" hidden="false" customHeight="false" outlineLevel="0" collapsed="false">
      <c r="F944" s="12" t="str">
        <f aca="false">IF(AND(D944&lt;&gt;"",E944&lt;&gt;""),D944*E944,"")</f>
        <v/>
      </c>
    </row>
    <row r="945" customFormat="false" ht="15" hidden="false" customHeight="false" outlineLevel="0" collapsed="false">
      <c r="F945" s="7" t="str">
        <f aca="false">IF(AND(D945&lt;&gt;"",E945&lt;&gt;""),D945*E945,"")</f>
        <v/>
      </c>
    </row>
    <row r="946" customFormat="false" ht="15" hidden="false" customHeight="false" outlineLevel="0" collapsed="false">
      <c r="F946" s="12" t="str">
        <f aca="false">IF(AND(D946&lt;&gt;"",E946&lt;&gt;""),D946*E946,"")</f>
        <v/>
      </c>
    </row>
    <row r="947" customFormat="false" ht="15" hidden="false" customHeight="false" outlineLevel="0" collapsed="false">
      <c r="F947" s="7" t="str">
        <f aca="false">IF(AND(D947&lt;&gt;"",E947&lt;&gt;""),D947*E947,"")</f>
        <v/>
      </c>
    </row>
    <row r="948" customFormat="false" ht="15" hidden="false" customHeight="false" outlineLevel="0" collapsed="false">
      <c r="F948" s="12" t="str">
        <f aca="false">IF(AND(D948&lt;&gt;"",E948&lt;&gt;""),D948*E948,"")</f>
        <v/>
      </c>
    </row>
    <row r="949" customFormat="false" ht="15" hidden="false" customHeight="false" outlineLevel="0" collapsed="false">
      <c r="F949" s="7" t="str">
        <f aca="false">IF(AND(D949&lt;&gt;"",E949&lt;&gt;""),D949*E949,"")</f>
        <v/>
      </c>
    </row>
    <row r="950" customFormat="false" ht="15" hidden="false" customHeight="false" outlineLevel="0" collapsed="false">
      <c r="F950" s="12" t="str">
        <f aca="false">IF(AND(D950&lt;&gt;"",E950&lt;&gt;""),D950*E950,"")</f>
        <v/>
      </c>
    </row>
    <row r="951" customFormat="false" ht="15" hidden="false" customHeight="false" outlineLevel="0" collapsed="false">
      <c r="F951" s="7" t="str">
        <f aca="false">IF(AND(D951&lt;&gt;"",E951&lt;&gt;""),D951*E951,"")</f>
        <v/>
      </c>
    </row>
    <row r="952" customFormat="false" ht="15" hidden="false" customHeight="false" outlineLevel="0" collapsed="false">
      <c r="F952" s="12" t="str">
        <f aca="false">IF(AND(D952&lt;&gt;"",E952&lt;&gt;""),D952*E952,"")</f>
        <v/>
      </c>
    </row>
    <row r="953" customFormat="false" ht="15" hidden="false" customHeight="false" outlineLevel="0" collapsed="false">
      <c r="F953" s="7" t="str">
        <f aca="false">IF(AND(D953&lt;&gt;"",E953&lt;&gt;""),D953*E953,"")</f>
        <v/>
      </c>
    </row>
    <row r="954" customFormat="false" ht="15" hidden="false" customHeight="false" outlineLevel="0" collapsed="false">
      <c r="F954" s="12" t="str">
        <f aca="false">IF(AND(D954&lt;&gt;"",E954&lt;&gt;""),D954*E954,"")</f>
        <v/>
      </c>
    </row>
    <row r="955" customFormat="false" ht="15" hidden="false" customHeight="false" outlineLevel="0" collapsed="false">
      <c r="F955" s="7" t="str">
        <f aca="false">IF(AND(D955&lt;&gt;"",E955&lt;&gt;""),D955*E955,"")</f>
        <v/>
      </c>
    </row>
    <row r="956" customFormat="false" ht="15" hidden="false" customHeight="false" outlineLevel="0" collapsed="false">
      <c r="F956" s="12" t="str">
        <f aca="false">IF(AND(D956&lt;&gt;"",E956&lt;&gt;""),D956*E956,"")</f>
        <v/>
      </c>
    </row>
    <row r="957" customFormat="false" ht="15" hidden="false" customHeight="false" outlineLevel="0" collapsed="false">
      <c r="F957" s="7" t="str">
        <f aca="false">IF(AND(D957&lt;&gt;"",E957&lt;&gt;""),D957*E957,"")</f>
        <v/>
      </c>
    </row>
    <row r="958" customFormat="false" ht="15" hidden="false" customHeight="false" outlineLevel="0" collapsed="false">
      <c r="F958" s="12" t="str">
        <f aca="false">IF(AND(D958&lt;&gt;"",E958&lt;&gt;""),D958*E958,"")</f>
        <v/>
      </c>
    </row>
    <row r="959" customFormat="false" ht="15" hidden="false" customHeight="false" outlineLevel="0" collapsed="false">
      <c r="F959" s="7" t="str">
        <f aca="false">IF(AND(D959&lt;&gt;"",E959&lt;&gt;""),D959*E959,"")</f>
        <v/>
      </c>
    </row>
    <row r="960" customFormat="false" ht="15" hidden="false" customHeight="false" outlineLevel="0" collapsed="false">
      <c r="F960" s="12" t="str">
        <f aca="false">IF(AND(D960&lt;&gt;"",E960&lt;&gt;""),D960*E960,"")</f>
        <v/>
      </c>
    </row>
    <row r="961" customFormat="false" ht="15" hidden="false" customHeight="false" outlineLevel="0" collapsed="false">
      <c r="F961" s="7" t="str">
        <f aca="false">IF(AND(D961&lt;&gt;"",E961&lt;&gt;""),D961*E961,"")</f>
        <v/>
      </c>
    </row>
    <row r="962" customFormat="false" ht="15" hidden="false" customHeight="false" outlineLevel="0" collapsed="false">
      <c r="F962" s="12" t="str">
        <f aca="false">IF(AND(D962&lt;&gt;"",E962&lt;&gt;""),D962*E962,"")</f>
        <v/>
      </c>
    </row>
    <row r="963" customFormat="false" ht="15" hidden="false" customHeight="false" outlineLevel="0" collapsed="false">
      <c r="F963" s="7" t="str">
        <f aca="false">IF(AND(D963&lt;&gt;"",E963&lt;&gt;""),D963*E963,"")</f>
        <v/>
      </c>
    </row>
    <row r="964" customFormat="false" ht="15" hidden="false" customHeight="false" outlineLevel="0" collapsed="false">
      <c r="F964" s="12" t="str">
        <f aca="false">IF(AND(D964&lt;&gt;"",E964&lt;&gt;""),D964*E964,"")</f>
        <v/>
      </c>
    </row>
    <row r="965" customFormat="false" ht="15" hidden="false" customHeight="false" outlineLevel="0" collapsed="false">
      <c r="F965" s="7" t="str">
        <f aca="false">IF(AND(D965&lt;&gt;"",E965&lt;&gt;""),D965*E965,"")</f>
        <v/>
      </c>
    </row>
    <row r="966" customFormat="false" ht="15" hidden="false" customHeight="false" outlineLevel="0" collapsed="false">
      <c r="F966" s="12" t="str">
        <f aca="false">IF(AND(D966&lt;&gt;"",E966&lt;&gt;""),D966*E966,"")</f>
        <v/>
      </c>
    </row>
    <row r="967" customFormat="false" ht="15" hidden="false" customHeight="false" outlineLevel="0" collapsed="false">
      <c r="F967" s="7" t="str">
        <f aca="false">IF(AND(D967&lt;&gt;"",E967&lt;&gt;""),D967*E967,"")</f>
        <v/>
      </c>
    </row>
    <row r="968" customFormat="false" ht="15" hidden="false" customHeight="false" outlineLevel="0" collapsed="false">
      <c r="F968" s="12" t="str">
        <f aca="false">IF(AND(D968&lt;&gt;"",E968&lt;&gt;""),D968*E968,"")</f>
        <v/>
      </c>
    </row>
    <row r="969" customFormat="false" ht="15" hidden="false" customHeight="false" outlineLevel="0" collapsed="false">
      <c r="F969" s="7" t="str">
        <f aca="false">IF(AND(D969&lt;&gt;"",E969&lt;&gt;""),D969*E969,"")</f>
        <v/>
      </c>
    </row>
    <row r="970" customFormat="false" ht="15" hidden="false" customHeight="false" outlineLevel="0" collapsed="false">
      <c r="F970" s="12" t="str">
        <f aca="false">IF(AND(D970&lt;&gt;"",E970&lt;&gt;""),D970*E970,"")</f>
        <v/>
      </c>
    </row>
    <row r="971" customFormat="false" ht="15" hidden="false" customHeight="false" outlineLevel="0" collapsed="false">
      <c r="F971" s="7" t="str">
        <f aca="false">IF(AND(D971&lt;&gt;"",E971&lt;&gt;""),D971*E971,"")</f>
        <v/>
      </c>
    </row>
    <row r="972" customFormat="false" ht="15" hidden="false" customHeight="false" outlineLevel="0" collapsed="false">
      <c r="F972" s="12" t="str">
        <f aca="false">IF(AND(D972&lt;&gt;"",E972&lt;&gt;""),D972*E972,"")</f>
        <v/>
      </c>
    </row>
    <row r="973" customFormat="false" ht="15" hidden="false" customHeight="false" outlineLevel="0" collapsed="false">
      <c r="F973" s="7" t="str">
        <f aca="false">IF(AND(D973&lt;&gt;"",E973&lt;&gt;""),D973*E973,"")</f>
        <v/>
      </c>
    </row>
    <row r="974" customFormat="false" ht="15" hidden="false" customHeight="false" outlineLevel="0" collapsed="false">
      <c r="F974" s="12" t="str">
        <f aca="false">IF(AND(D974&lt;&gt;"",E974&lt;&gt;""),D974*E974,"")</f>
        <v/>
      </c>
    </row>
    <row r="975" customFormat="false" ht="15" hidden="false" customHeight="false" outlineLevel="0" collapsed="false">
      <c r="F975" s="7" t="str">
        <f aca="false">IF(AND(D975&lt;&gt;"",E975&lt;&gt;""),D975*E975,"")</f>
        <v/>
      </c>
    </row>
    <row r="976" customFormat="false" ht="15" hidden="false" customHeight="false" outlineLevel="0" collapsed="false">
      <c r="F976" s="12" t="str">
        <f aca="false">IF(AND(D976&lt;&gt;"",E976&lt;&gt;""),D976*E976,"")</f>
        <v/>
      </c>
    </row>
    <row r="977" customFormat="false" ht="15" hidden="false" customHeight="false" outlineLevel="0" collapsed="false">
      <c r="F977" s="7" t="str">
        <f aca="false">IF(AND(D977&lt;&gt;"",E977&lt;&gt;""),D977*E977,"")</f>
        <v/>
      </c>
    </row>
    <row r="978" customFormat="false" ht="15" hidden="false" customHeight="false" outlineLevel="0" collapsed="false">
      <c r="F978" s="12" t="str">
        <f aca="false">IF(AND(D978&lt;&gt;"",E978&lt;&gt;""),D978*E978,"")</f>
        <v/>
      </c>
    </row>
    <row r="979" customFormat="false" ht="15" hidden="false" customHeight="false" outlineLevel="0" collapsed="false">
      <c r="F979" s="7" t="str">
        <f aca="false">IF(AND(D979&lt;&gt;"",E979&lt;&gt;""),D979*E979,"")</f>
        <v/>
      </c>
    </row>
    <row r="980" customFormat="false" ht="15" hidden="false" customHeight="false" outlineLevel="0" collapsed="false">
      <c r="F980" s="12" t="str">
        <f aca="false">IF(AND(D980&lt;&gt;"",E980&lt;&gt;""),D980*E980,"")</f>
        <v/>
      </c>
    </row>
    <row r="981" customFormat="false" ht="15" hidden="false" customHeight="false" outlineLevel="0" collapsed="false">
      <c r="F981" s="7" t="str">
        <f aca="false">IF(AND(D981&lt;&gt;"",E981&lt;&gt;""),D981*E981,"")</f>
        <v/>
      </c>
    </row>
    <row r="982" customFormat="false" ht="15" hidden="false" customHeight="false" outlineLevel="0" collapsed="false">
      <c r="F982" s="12" t="str">
        <f aca="false">IF(AND(D982&lt;&gt;"",E982&lt;&gt;""),D982*E982,"")</f>
        <v/>
      </c>
    </row>
    <row r="983" customFormat="false" ht="15" hidden="false" customHeight="false" outlineLevel="0" collapsed="false">
      <c r="F983" s="7" t="str">
        <f aca="false">IF(AND(D983&lt;&gt;"",E983&lt;&gt;""),D983*E983,"")</f>
        <v/>
      </c>
    </row>
    <row r="984" customFormat="false" ht="15" hidden="false" customHeight="false" outlineLevel="0" collapsed="false">
      <c r="F984" s="12" t="str">
        <f aca="false">IF(AND(D984&lt;&gt;"",E984&lt;&gt;""),D984*E984,"")</f>
        <v/>
      </c>
    </row>
    <row r="985" customFormat="false" ht="15" hidden="false" customHeight="false" outlineLevel="0" collapsed="false">
      <c r="F985" s="7" t="str">
        <f aca="false">IF(AND(D985&lt;&gt;"",E985&lt;&gt;""),D985*E985,"")</f>
        <v/>
      </c>
    </row>
    <row r="986" customFormat="false" ht="15" hidden="false" customHeight="false" outlineLevel="0" collapsed="false">
      <c r="F986" s="12" t="str">
        <f aca="false">IF(AND(D986&lt;&gt;"",E986&lt;&gt;""),D986*E986,"")</f>
        <v/>
      </c>
    </row>
    <row r="987" customFormat="false" ht="15" hidden="false" customHeight="false" outlineLevel="0" collapsed="false">
      <c r="F987" s="7" t="str">
        <f aca="false">IF(AND(D987&lt;&gt;"",E987&lt;&gt;""),D987*E987,"")</f>
        <v/>
      </c>
    </row>
    <row r="988" customFormat="false" ht="15" hidden="false" customHeight="false" outlineLevel="0" collapsed="false">
      <c r="F988" s="12" t="str">
        <f aca="false">IF(AND(D988&lt;&gt;"",E988&lt;&gt;""),D988*E988,"")</f>
        <v/>
      </c>
    </row>
    <row r="989" customFormat="false" ht="15" hidden="false" customHeight="false" outlineLevel="0" collapsed="false">
      <c r="F989" s="7" t="str">
        <f aca="false">IF(AND(D989&lt;&gt;"",E989&lt;&gt;""),D989*E989,"")</f>
        <v/>
      </c>
    </row>
    <row r="990" customFormat="false" ht="15" hidden="false" customHeight="false" outlineLevel="0" collapsed="false">
      <c r="F990" s="12" t="str">
        <f aca="false">IF(AND(D990&lt;&gt;"",E990&lt;&gt;""),D990*E990,"")</f>
        <v/>
      </c>
    </row>
    <row r="991" customFormat="false" ht="15" hidden="false" customHeight="false" outlineLevel="0" collapsed="false">
      <c r="F991" s="7" t="str">
        <f aca="false">IF(AND(D991&lt;&gt;"",E991&lt;&gt;""),D991*E991,"")</f>
        <v/>
      </c>
    </row>
    <row r="992" customFormat="false" ht="15" hidden="false" customHeight="false" outlineLevel="0" collapsed="false">
      <c r="F992" s="12" t="str">
        <f aca="false">IF(AND(D992&lt;&gt;"",E992&lt;&gt;""),D992*E992,"")</f>
        <v/>
      </c>
    </row>
    <row r="993" customFormat="false" ht="15" hidden="false" customHeight="false" outlineLevel="0" collapsed="false">
      <c r="F993" s="7" t="str">
        <f aca="false">IF(AND(D993&lt;&gt;"",E993&lt;&gt;""),D993*E993,"")</f>
        <v/>
      </c>
    </row>
    <row r="994" customFormat="false" ht="15" hidden="false" customHeight="false" outlineLevel="0" collapsed="false">
      <c r="F994" s="12" t="str">
        <f aca="false">IF(AND(D994&lt;&gt;"",E994&lt;&gt;""),D994*E994,"")</f>
        <v/>
      </c>
    </row>
    <row r="995" customFormat="false" ht="15" hidden="false" customHeight="false" outlineLevel="0" collapsed="false">
      <c r="F995" s="7" t="str">
        <f aca="false">IF(AND(D995&lt;&gt;"",E995&lt;&gt;""),D995*E995,"")</f>
        <v/>
      </c>
    </row>
    <row r="996" customFormat="false" ht="15" hidden="false" customHeight="false" outlineLevel="0" collapsed="false">
      <c r="F996" s="12" t="str">
        <f aca="false">IF(AND(D996&lt;&gt;"",E996&lt;&gt;""),D996*E996,"")</f>
        <v/>
      </c>
    </row>
    <row r="997" customFormat="false" ht="15" hidden="false" customHeight="false" outlineLevel="0" collapsed="false">
      <c r="F997" s="7" t="str">
        <f aca="false">IF(AND(D997&lt;&gt;"",E997&lt;&gt;""),D997*E997,"")</f>
        <v/>
      </c>
    </row>
    <row r="998" customFormat="false" ht="15" hidden="false" customHeight="false" outlineLevel="0" collapsed="false">
      <c r="F998" s="12" t="str">
        <f aca="false">IF(AND(D998&lt;&gt;"",E998&lt;&gt;""),D998*E998,"")</f>
        <v/>
      </c>
    </row>
    <row r="999" customFormat="false" ht="15" hidden="false" customHeight="false" outlineLevel="0" collapsed="false">
      <c r="F999" s="7" t="str">
        <f aca="false">IF(AND(D999&lt;&gt;"",E999&lt;&gt;""),D999*E999,"")</f>
        <v/>
      </c>
    </row>
    <row r="1000" customFormat="false" ht="15" hidden="false" customHeight="false" outlineLevel="0" collapsed="false">
      <c r="F1000" s="12" t="str">
        <f aca="false">IF(AND(D1000&lt;&gt;"",E1000&lt;&gt;""),D1000*E1000,"")</f>
        <v/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3" t="s">
        <v>27</v>
      </c>
      <c r="B1" s="13"/>
      <c r="C1" s="13"/>
      <c r="D1" s="13"/>
      <c r="E1" s="13"/>
      <c r="F1" s="13"/>
      <c r="G1" s="13"/>
      <c r="H1" s="13"/>
    </row>
    <row r="2" customFormat="false" ht="27.75" hidden="false" customHeight="true" outlineLevel="0" collapsed="false">
      <c r="A2" s="2" t="s">
        <v>3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28</v>
      </c>
      <c r="G2" s="2" t="s">
        <v>29</v>
      </c>
      <c r="H2" s="2" t="s">
        <v>30</v>
      </c>
    </row>
    <row r="3" customFormat="false" ht="15" hidden="false" customHeight="false" outlineLevel="0" collapsed="false">
      <c r="A3" s="14" t="str">
        <f aca="false">IF(Transações!C3&lt;&gt;"",Transações!C3,"")</f>
        <v>BTC</v>
      </c>
      <c r="B3" s="14" t="str">
        <f aca="false">IF(Transações!A3&lt;&gt;"",Transações!A3,"")</f>
        <v>15/01/2026</v>
      </c>
      <c r="C3" s="14" t="str">
        <f aca="false">IF(Transações!B3&lt;&gt;"",Transações!B3,"")</f>
        <v>Compra</v>
      </c>
      <c r="D3" s="15" t="n">
        <f aca="false">IF(Transações!D3&lt;&gt;"",Transações!D3,"")</f>
        <v>0.05</v>
      </c>
      <c r="E3" s="16" t="n">
        <f aca="false">IF(Transações!E3&lt;&gt;"",Transações!E3,"")</f>
        <v>580000</v>
      </c>
      <c r="F3" s="7" t="n">
        <f aca="false">IF(C3="Compra",D3*E3,IF(C3="Staking",D3*E3,""))</f>
        <v>29000</v>
      </c>
      <c r="G3" s="7" t="str">
        <f aca="false">IF(C3="Venda",IF(COUNTIF(A$3:A2,A3)&gt;0,(E3-SUMPRODUCT((A$3:A2=A3)*(C$3:C2="Compra")*F$3:F2)/IF(SUMPRODUCT((A$3:A2=A3)*(C$3:C2="Compra")*D$3:D2)=0,1,SUMPRODUCT((A$3:A2=A3)*(C$3:C2="Compra")*D$3:D2)))*D3,0),"")</f>
        <v/>
      </c>
      <c r="H3" s="7" t="str">
        <f aca="false">IF(C3="Venda",E3*D3,"")</f>
        <v/>
      </c>
    </row>
    <row r="4" customFormat="false" ht="15" hidden="false" customHeight="false" outlineLevel="0" collapsed="false">
      <c r="A4" s="17" t="str">
        <f aca="false">IF(Transações!C4&lt;&gt;"",Transações!C4,"")</f>
        <v>BTC</v>
      </c>
      <c r="B4" s="17" t="str">
        <f aca="false">IF(Transações!A4&lt;&gt;"",Transações!A4,"")</f>
        <v>20/01/2026</v>
      </c>
      <c r="C4" s="17" t="str">
        <f aca="false">IF(Transações!B4&lt;&gt;"",Transações!B4,"")</f>
        <v>Venda</v>
      </c>
      <c r="D4" s="18" t="n">
        <f aca="false">IF(Transações!D4&lt;&gt;"",Transações!D4,"")</f>
        <v>0.02</v>
      </c>
      <c r="E4" s="19" t="n">
        <f aca="false">IF(Transações!E4&lt;&gt;"",Transações!E4,"")</f>
        <v>620000</v>
      </c>
      <c r="F4" s="12" t="str">
        <f aca="false">IF(C4="Compra",D4*E4,IF(C4="Staking",D4*E4,""))</f>
        <v/>
      </c>
      <c r="G4" s="12" t="n">
        <f aca="false">IF(C4="Venda",IF(COUNTIF(A$3:A3,A4)&gt;0,(E4-SUMPRODUCT((A$3:A3=A4)*(C$3:C3="Compra")*F$3:F3)/IF(SUMPRODUCT((A$3:A3=A4)*(C$3:C3="Compra")*D$3:D3)=0,1,SUMPRODUCT((A$3:A3=A4)*(C$3:C3="Compra")*D$3:D3)))*D4,0),"")</f>
        <v>800</v>
      </c>
      <c r="H4" s="12" t="n">
        <f aca="false">IF(C4="Venda",E4*D4,"")</f>
        <v>12400</v>
      </c>
    </row>
    <row r="5" customFormat="false" ht="15" hidden="false" customHeight="false" outlineLevel="0" collapsed="false">
      <c r="A5" s="14" t="str">
        <f aca="false">IF(Transações!C5&lt;&gt;"",Transações!C5,"")</f>
        <v>ETH</v>
      </c>
      <c r="B5" s="14" t="str">
        <f aca="false">IF(Transações!A5&lt;&gt;"",Transações!A5,"")</f>
        <v>05/02/2026</v>
      </c>
      <c r="C5" s="14" t="str">
        <f aca="false">IF(Transações!B5&lt;&gt;"",Transações!B5,"")</f>
        <v>Staking</v>
      </c>
      <c r="D5" s="15" t="n">
        <f aca="false">IF(Transações!D5&lt;&gt;"",Transações!D5,"")</f>
        <v>0.15</v>
      </c>
      <c r="E5" s="16" t="n">
        <f aca="false">IF(Transações!E5&lt;&gt;"",Transações!E5,"")</f>
        <v>17500</v>
      </c>
      <c r="F5" s="7" t="n">
        <f aca="false">IF(C5="Compra",D5*E5,IF(C5="Staking",D5*E5,""))</f>
        <v>2625</v>
      </c>
      <c r="G5" s="7" t="str">
        <f aca="false">IF(C5="Venda",IF(COUNTIF(A$3:A4,A5)&gt;0,(E5-SUMPRODUCT((A$3:A4=A5)*(C$3:C4="Compra")*F$3:F4)/IF(SUMPRODUCT((A$3:A4=A5)*(C$3:C4="Compra")*D$3:D4)=0,1,SUMPRODUCT((A$3:A4=A5)*(C$3:C4="Compra")*D$3:D4)))*D5,0),"")</f>
        <v/>
      </c>
      <c r="H5" s="7" t="str">
        <f aca="false">IF(C5="Venda",E5*D5,"")</f>
        <v/>
      </c>
    </row>
    <row r="6" customFormat="false" ht="15" hidden="false" customHeight="false" outlineLevel="0" collapsed="false">
      <c r="A6" s="17" t="str">
        <f aca="false">IF(Transações!C6&lt;&gt;"",Transações!C6,"")</f>
        <v>SOL</v>
      </c>
      <c r="B6" s="17" t="str">
        <f aca="false">IF(Transações!A6&lt;&gt;"",Transações!A6,"")</f>
        <v>18/02/2026</v>
      </c>
      <c r="C6" s="17" t="str">
        <f aca="false">IF(Transações!B6&lt;&gt;"",Transações!B6,"")</f>
        <v>Compra</v>
      </c>
      <c r="D6" s="18" t="n">
        <f aca="false">IF(Transações!D6&lt;&gt;"",Transações!D6,"")</f>
        <v>10</v>
      </c>
      <c r="E6" s="19" t="n">
        <f aca="false">IF(Transações!E6&lt;&gt;"",Transações!E6,"")</f>
        <v>870</v>
      </c>
      <c r="F6" s="12" t="n">
        <f aca="false">IF(C6="Compra",D6*E6,IF(C6="Staking",D6*E6,""))</f>
        <v>8700</v>
      </c>
      <c r="G6" s="12" t="str">
        <f aca="false">IF(C6="Venda",IF(COUNTIF(A$3:A5,A6)&gt;0,(E6-SUMPRODUCT((A$3:A5=A6)*(C$3:C5="Compra")*F$3:F5)/IF(SUMPRODUCT((A$3:A5=A6)*(C$3:C5="Compra")*D$3:D5)=0,1,SUMPRODUCT((A$3:A5=A6)*(C$3:C5="Compra")*D$3:D5)))*D6,0),"")</f>
        <v/>
      </c>
      <c r="H6" s="12" t="str">
        <f aca="false">IF(C6="Venda",E6*D6,"")</f>
        <v/>
      </c>
    </row>
    <row r="7" customFormat="false" ht="15" hidden="false" customHeight="false" outlineLevel="0" collapsed="false">
      <c r="A7" s="14" t="str">
        <f aca="false">IF(Transações!C7&lt;&gt;"",Transações!C7,"")</f>
        <v/>
      </c>
      <c r="B7" s="14" t="str">
        <f aca="false">IF(Transações!A7&lt;&gt;"",Transações!A7,"")</f>
        <v/>
      </c>
      <c r="C7" s="14" t="str">
        <f aca="false">IF(Transações!B7&lt;&gt;"",Transações!B7,"")</f>
        <v/>
      </c>
      <c r="D7" s="15" t="str">
        <f aca="false">IF(Transações!D7&lt;&gt;"",Transações!D7,"")</f>
        <v/>
      </c>
      <c r="E7" s="16" t="str">
        <f aca="false">IF(Transações!E7&lt;&gt;"",Transações!E7,"")</f>
        <v/>
      </c>
      <c r="F7" s="7" t="str">
        <f aca="false">IF(C7="Compra",D7*E7,IF(C7="Staking",D7*E7,""))</f>
        <v/>
      </c>
      <c r="G7" s="7" t="str">
        <f aca="false">IF(C7="Venda",IF(COUNTIF(A$3:A6,A7)&gt;0,(E7-SUMPRODUCT((A$3:A6=A7)*(C$3:C6="Compra")*F$3:F6)/IF(SUMPRODUCT((A$3:A6=A7)*(C$3:C6="Compra")*D$3:D6)=0,1,SUMPRODUCT((A$3:A6=A7)*(C$3:C6="Compra")*D$3:D6)))*D7,0),"")</f>
        <v/>
      </c>
      <c r="H7" s="7" t="str">
        <f aca="false">IF(C7="Venda",E7*D7,"")</f>
        <v/>
      </c>
    </row>
    <row r="8" customFormat="false" ht="15" hidden="false" customHeight="false" outlineLevel="0" collapsed="false">
      <c r="A8" s="17" t="str">
        <f aca="false">IF(Transações!C8&lt;&gt;"",Transações!C8,"")</f>
        <v/>
      </c>
      <c r="B8" s="17" t="str">
        <f aca="false">IF(Transações!A8&lt;&gt;"",Transações!A8,"")</f>
        <v/>
      </c>
      <c r="C8" s="17" t="str">
        <f aca="false">IF(Transações!B8&lt;&gt;"",Transações!B8,"")</f>
        <v/>
      </c>
      <c r="D8" s="18" t="str">
        <f aca="false">IF(Transações!D8&lt;&gt;"",Transações!D8,"")</f>
        <v/>
      </c>
      <c r="E8" s="19" t="str">
        <f aca="false">IF(Transações!E8&lt;&gt;"",Transações!E8,"")</f>
        <v/>
      </c>
      <c r="F8" s="12" t="str">
        <f aca="false">IF(C8="Compra",D8*E8,IF(C8="Staking",D8*E8,""))</f>
        <v/>
      </c>
      <c r="G8" s="12" t="str">
        <f aca="false">IF(C8="Venda",IF(COUNTIF(A$3:A7,A8)&gt;0,(E8-SUMPRODUCT((A$3:A7=A8)*(C$3:C7="Compra")*F$3:F7)/IF(SUMPRODUCT((A$3:A7=A8)*(C$3:C7="Compra")*D$3:D7)=0,1,SUMPRODUCT((A$3:A7=A8)*(C$3:C7="Compra")*D$3:D7)))*D8,0),"")</f>
        <v/>
      </c>
      <c r="H8" s="12" t="str">
        <f aca="false">IF(C8="Venda",E8*D8,"")</f>
        <v/>
      </c>
    </row>
    <row r="9" customFormat="false" ht="15" hidden="false" customHeight="false" outlineLevel="0" collapsed="false">
      <c r="A9" s="14" t="str">
        <f aca="false">IF(Transações!C9&lt;&gt;"",Transações!C9,"")</f>
        <v/>
      </c>
      <c r="B9" s="14" t="str">
        <f aca="false">IF(Transações!A9&lt;&gt;"",Transações!A9,"")</f>
        <v/>
      </c>
      <c r="C9" s="14" t="str">
        <f aca="false">IF(Transações!B9&lt;&gt;"",Transações!B9,"")</f>
        <v/>
      </c>
      <c r="D9" s="15" t="str">
        <f aca="false">IF(Transações!D9&lt;&gt;"",Transações!D9,"")</f>
        <v/>
      </c>
      <c r="E9" s="16" t="str">
        <f aca="false">IF(Transações!E9&lt;&gt;"",Transações!E9,"")</f>
        <v/>
      </c>
      <c r="F9" s="7" t="str">
        <f aca="false">IF(C9="Compra",D9*E9,IF(C9="Staking",D9*E9,""))</f>
        <v/>
      </c>
      <c r="G9" s="7" t="str">
        <f aca="false">IF(C9="Venda",IF(COUNTIF(A$3:A8,A9)&gt;0,(E9-SUMPRODUCT((A$3:A8=A9)*(C$3:C8="Compra")*F$3:F8)/IF(SUMPRODUCT((A$3:A8=A9)*(C$3:C8="Compra")*D$3:D8)=0,1,SUMPRODUCT((A$3:A8=A9)*(C$3:C8="Compra")*D$3:D8)))*D9,0),"")</f>
        <v/>
      </c>
      <c r="H9" s="7" t="str">
        <f aca="false">IF(C9="Venda",E9*D9,"")</f>
        <v/>
      </c>
    </row>
    <row r="10" customFormat="false" ht="15" hidden="false" customHeight="false" outlineLevel="0" collapsed="false">
      <c r="A10" s="17" t="str">
        <f aca="false">IF(Transações!C10&lt;&gt;"",Transações!C10,"")</f>
        <v/>
      </c>
      <c r="B10" s="17" t="str">
        <f aca="false">IF(Transações!A10&lt;&gt;"",Transações!A10,"")</f>
        <v/>
      </c>
      <c r="C10" s="17" t="str">
        <f aca="false">IF(Transações!B10&lt;&gt;"",Transações!B10,"")</f>
        <v/>
      </c>
      <c r="D10" s="18" t="str">
        <f aca="false">IF(Transações!D10&lt;&gt;"",Transações!D10,"")</f>
        <v/>
      </c>
      <c r="E10" s="19" t="str">
        <f aca="false">IF(Transações!E10&lt;&gt;"",Transações!E10,"")</f>
        <v/>
      </c>
      <c r="F10" s="12" t="str">
        <f aca="false">IF(C10="Compra",D10*E10,IF(C10="Staking",D10*E10,""))</f>
        <v/>
      </c>
      <c r="G10" s="12" t="str">
        <f aca="false">IF(C10="Venda",IF(COUNTIF(A$3:A9,A10)&gt;0,(E10-SUMPRODUCT((A$3:A9=A10)*(C$3:C9="Compra")*F$3:F9)/IF(SUMPRODUCT((A$3:A9=A10)*(C$3:C9="Compra")*D$3:D9)=0,1,SUMPRODUCT((A$3:A9=A10)*(C$3:C9="Compra")*D$3:D9)))*D10,0),"")</f>
        <v/>
      </c>
      <c r="H10" s="12" t="str">
        <f aca="false">IF(C10="Venda",E10*D10,"")</f>
        <v/>
      </c>
    </row>
    <row r="11" customFormat="false" ht="15" hidden="false" customHeight="false" outlineLevel="0" collapsed="false">
      <c r="A11" s="14" t="str">
        <f aca="false">IF(Transações!C11&lt;&gt;"",Transações!C11,"")</f>
        <v/>
      </c>
      <c r="B11" s="14" t="str">
        <f aca="false">IF(Transações!A11&lt;&gt;"",Transações!A11,"")</f>
        <v/>
      </c>
      <c r="C11" s="14" t="str">
        <f aca="false">IF(Transações!B11&lt;&gt;"",Transações!B11,"")</f>
        <v/>
      </c>
      <c r="D11" s="15" t="str">
        <f aca="false">IF(Transações!D11&lt;&gt;"",Transações!D11,"")</f>
        <v/>
      </c>
      <c r="E11" s="16" t="str">
        <f aca="false">IF(Transações!E11&lt;&gt;"",Transações!E11,"")</f>
        <v/>
      </c>
      <c r="F11" s="7" t="str">
        <f aca="false">IF(C11="Compra",D11*E11,IF(C11="Staking",D11*E11,""))</f>
        <v/>
      </c>
      <c r="G11" s="7" t="str">
        <f aca="false">IF(C11="Venda",IF(COUNTIF(A$3:A10,A11)&gt;0,(E11-SUMPRODUCT((A$3:A10=A11)*(C$3:C10="Compra")*F$3:F10)/IF(SUMPRODUCT((A$3:A10=A11)*(C$3:C10="Compra")*D$3:D10)=0,1,SUMPRODUCT((A$3:A10=A11)*(C$3:C10="Compra")*D$3:D10)))*D11,0),"")</f>
        <v/>
      </c>
      <c r="H11" s="7" t="str">
        <f aca="false">IF(C11="Venda",E11*D11,"")</f>
        <v/>
      </c>
    </row>
    <row r="12" customFormat="false" ht="15" hidden="false" customHeight="false" outlineLevel="0" collapsed="false">
      <c r="A12" s="17" t="str">
        <f aca="false">IF(Transações!C12&lt;&gt;"",Transações!C12,"")</f>
        <v/>
      </c>
      <c r="B12" s="17" t="str">
        <f aca="false">IF(Transações!A12&lt;&gt;"",Transações!A12,"")</f>
        <v/>
      </c>
      <c r="C12" s="17" t="str">
        <f aca="false">IF(Transações!B12&lt;&gt;"",Transações!B12,"")</f>
        <v/>
      </c>
      <c r="D12" s="18" t="str">
        <f aca="false">IF(Transações!D12&lt;&gt;"",Transações!D12,"")</f>
        <v/>
      </c>
      <c r="E12" s="19" t="str">
        <f aca="false">IF(Transações!E12&lt;&gt;"",Transações!E12,"")</f>
        <v/>
      </c>
      <c r="F12" s="12" t="str">
        <f aca="false">IF(C12="Compra",D12*E12,IF(C12="Staking",D12*E12,""))</f>
        <v/>
      </c>
      <c r="G12" s="12" t="str">
        <f aca="false">IF(C12="Venda",IF(COUNTIF(A$3:A11,A12)&gt;0,(E12-SUMPRODUCT((A$3:A11=A12)*(C$3:C11="Compra")*F$3:F11)/IF(SUMPRODUCT((A$3:A11=A12)*(C$3:C11="Compra")*D$3:D11)=0,1,SUMPRODUCT((A$3:A11=A12)*(C$3:C11="Compra")*D$3:D11)))*D12,0),"")</f>
        <v/>
      </c>
      <c r="H12" s="12" t="str">
        <f aca="false">IF(C12="Venda",E12*D12,"")</f>
        <v/>
      </c>
    </row>
    <row r="13" customFormat="false" ht="15" hidden="false" customHeight="false" outlineLevel="0" collapsed="false">
      <c r="A13" s="14" t="str">
        <f aca="false">IF(Transações!C13&lt;&gt;"",Transações!C13,"")</f>
        <v/>
      </c>
      <c r="B13" s="14" t="str">
        <f aca="false">IF(Transações!A13&lt;&gt;"",Transações!A13,"")</f>
        <v/>
      </c>
      <c r="C13" s="14" t="str">
        <f aca="false">IF(Transações!B13&lt;&gt;"",Transações!B13,"")</f>
        <v/>
      </c>
      <c r="D13" s="15" t="str">
        <f aca="false">IF(Transações!D13&lt;&gt;"",Transações!D13,"")</f>
        <v/>
      </c>
      <c r="E13" s="16" t="str">
        <f aca="false">IF(Transações!E13&lt;&gt;"",Transações!E13,"")</f>
        <v/>
      </c>
      <c r="F13" s="7" t="str">
        <f aca="false">IF(C13="Compra",D13*E13,IF(C13="Staking",D13*E13,""))</f>
        <v/>
      </c>
      <c r="G13" s="7" t="str">
        <f aca="false">IF(C13="Venda",IF(COUNTIF(A$3:A12,A13)&gt;0,(E13-SUMPRODUCT((A$3:A12=A13)*(C$3:C12="Compra")*F$3:F12)/IF(SUMPRODUCT((A$3:A12=A13)*(C$3:C12="Compra")*D$3:D12)=0,1,SUMPRODUCT((A$3:A12=A13)*(C$3:C12="Compra")*D$3:D12)))*D13,0),"")</f>
        <v/>
      </c>
      <c r="H13" s="7" t="str">
        <f aca="false">IF(C13="Venda",E13*D13,"")</f>
        <v/>
      </c>
    </row>
    <row r="14" customFormat="false" ht="15" hidden="false" customHeight="false" outlineLevel="0" collapsed="false">
      <c r="A14" s="17" t="str">
        <f aca="false">IF(Transações!C14&lt;&gt;"",Transações!C14,"")</f>
        <v/>
      </c>
      <c r="B14" s="17" t="str">
        <f aca="false">IF(Transações!A14&lt;&gt;"",Transações!A14,"")</f>
        <v/>
      </c>
      <c r="C14" s="17" t="str">
        <f aca="false">IF(Transações!B14&lt;&gt;"",Transações!B14,"")</f>
        <v/>
      </c>
      <c r="D14" s="18" t="str">
        <f aca="false">IF(Transações!D14&lt;&gt;"",Transações!D14,"")</f>
        <v/>
      </c>
      <c r="E14" s="19" t="str">
        <f aca="false">IF(Transações!E14&lt;&gt;"",Transações!E14,"")</f>
        <v/>
      </c>
      <c r="F14" s="12" t="str">
        <f aca="false">IF(C14="Compra",D14*E14,IF(C14="Staking",D14*E14,""))</f>
        <v/>
      </c>
      <c r="G14" s="12" t="str">
        <f aca="false">IF(C14="Venda",IF(COUNTIF(A$3:A13,A14)&gt;0,(E14-SUMPRODUCT((A$3:A13=A14)*(C$3:C13="Compra")*F$3:F13)/IF(SUMPRODUCT((A$3:A13=A14)*(C$3:C13="Compra")*D$3:D13)=0,1,SUMPRODUCT((A$3:A13=A14)*(C$3:C13="Compra")*D$3:D13)))*D14,0),"")</f>
        <v/>
      </c>
      <c r="H14" s="12" t="str">
        <f aca="false">IF(C14="Venda",E14*D14,"")</f>
        <v/>
      </c>
    </row>
    <row r="15" customFormat="false" ht="15" hidden="false" customHeight="false" outlineLevel="0" collapsed="false">
      <c r="A15" s="14" t="str">
        <f aca="false">IF(Transações!C15&lt;&gt;"",Transações!C15,"")</f>
        <v/>
      </c>
      <c r="B15" s="14" t="str">
        <f aca="false">IF(Transações!A15&lt;&gt;"",Transações!A15,"")</f>
        <v/>
      </c>
      <c r="C15" s="14" t="str">
        <f aca="false">IF(Transações!B15&lt;&gt;"",Transações!B15,"")</f>
        <v/>
      </c>
      <c r="D15" s="15" t="str">
        <f aca="false">IF(Transações!D15&lt;&gt;"",Transações!D15,"")</f>
        <v/>
      </c>
      <c r="E15" s="16" t="str">
        <f aca="false">IF(Transações!E15&lt;&gt;"",Transações!E15,"")</f>
        <v/>
      </c>
      <c r="F15" s="7" t="str">
        <f aca="false">IF(C15="Compra",D15*E15,IF(C15="Staking",D15*E15,""))</f>
        <v/>
      </c>
      <c r="G15" s="7" t="str">
        <f aca="false">IF(C15="Venda",IF(COUNTIF(A$3:A14,A15)&gt;0,(E15-SUMPRODUCT((A$3:A14=A15)*(C$3:C14="Compra")*F$3:F14)/IF(SUMPRODUCT((A$3:A14=A15)*(C$3:C14="Compra")*D$3:D14)=0,1,SUMPRODUCT((A$3:A14=A15)*(C$3:C14="Compra")*D$3:D14)))*D15,0),"")</f>
        <v/>
      </c>
      <c r="H15" s="7" t="str">
        <f aca="false">IF(C15="Venda",E15*D15,"")</f>
        <v/>
      </c>
    </row>
    <row r="16" customFormat="false" ht="15" hidden="false" customHeight="false" outlineLevel="0" collapsed="false">
      <c r="A16" s="17" t="str">
        <f aca="false">IF(Transações!C16&lt;&gt;"",Transações!C16,"")</f>
        <v/>
      </c>
      <c r="B16" s="17" t="str">
        <f aca="false">IF(Transações!A16&lt;&gt;"",Transações!A16,"")</f>
        <v/>
      </c>
      <c r="C16" s="17" t="str">
        <f aca="false">IF(Transações!B16&lt;&gt;"",Transações!B16,"")</f>
        <v/>
      </c>
      <c r="D16" s="18" t="str">
        <f aca="false">IF(Transações!D16&lt;&gt;"",Transações!D16,"")</f>
        <v/>
      </c>
      <c r="E16" s="19" t="str">
        <f aca="false">IF(Transações!E16&lt;&gt;"",Transações!E16,"")</f>
        <v/>
      </c>
      <c r="F16" s="12" t="str">
        <f aca="false">IF(C16="Compra",D16*E16,IF(C16="Staking",D16*E16,""))</f>
        <v/>
      </c>
      <c r="G16" s="12" t="str">
        <f aca="false">IF(C16="Venda",IF(COUNTIF(A$3:A15,A16)&gt;0,(E16-SUMPRODUCT((A$3:A15=A16)*(C$3:C15="Compra")*F$3:F15)/IF(SUMPRODUCT((A$3:A15=A16)*(C$3:C15="Compra")*D$3:D15)=0,1,SUMPRODUCT((A$3:A15=A16)*(C$3:C15="Compra")*D$3:D15)))*D16,0),"")</f>
        <v/>
      </c>
      <c r="H16" s="12" t="str">
        <f aca="false">IF(C16="Venda",E16*D16,"")</f>
        <v/>
      </c>
    </row>
    <row r="17" customFormat="false" ht="15" hidden="false" customHeight="false" outlineLevel="0" collapsed="false">
      <c r="A17" s="14" t="str">
        <f aca="false">IF(Transações!C17&lt;&gt;"",Transações!C17,"")</f>
        <v/>
      </c>
      <c r="B17" s="14" t="str">
        <f aca="false">IF(Transações!A17&lt;&gt;"",Transações!A17,"")</f>
        <v/>
      </c>
      <c r="C17" s="14" t="str">
        <f aca="false">IF(Transações!B17&lt;&gt;"",Transações!B17,"")</f>
        <v/>
      </c>
      <c r="D17" s="15" t="str">
        <f aca="false">IF(Transações!D17&lt;&gt;"",Transações!D17,"")</f>
        <v/>
      </c>
      <c r="E17" s="16" t="str">
        <f aca="false">IF(Transações!E17&lt;&gt;"",Transações!E17,"")</f>
        <v/>
      </c>
      <c r="F17" s="7" t="str">
        <f aca="false">IF(C17="Compra",D17*E17,IF(C17="Staking",D17*E17,""))</f>
        <v/>
      </c>
      <c r="G17" s="7" t="str">
        <f aca="false">IF(C17="Venda",IF(COUNTIF(A$3:A16,A17)&gt;0,(E17-SUMPRODUCT((A$3:A16=A17)*(C$3:C16="Compra")*F$3:F16)/IF(SUMPRODUCT((A$3:A16=A17)*(C$3:C16="Compra")*D$3:D16)=0,1,SUMPRODUCT((A$3:A16=A17)*(C$3:C16="Compra")*D$3:D16)))*D17,0),"")</f>
        <v/>
      </c>
      <c r="H17" s="7" t="str">
        <f aca="false">IF(C17="Venda",E17*D17,"")</f>
        <v/>
      </c>
    </row>
    <row r="18" customFormat="false" ht="15" hidden="false" customHeight="false" outlineLevel="0" collapsed="false">
      <c r="A18" s="17" t="str">
        <f aca="false">IF(Transações!C18&lt;&gt;"",Transações!C18,"")</f>
        <v/>
      </c>
      <c r="B18" s="17" t="str">
        <f aca="false">IF(Transações!A18&lt;&gt;"",Transações!A18,"")</f>
        <v/>
      </c>
      <c r="C18" s="17" t="str">
        <f aca="false">IF(Transações!B18&lt;&gt;"",Transações!B18,"")</f>
        <v/>
      </c>
      <c r="D18" s="18" t="str">
        <f aca="false">IF(Transações!D18&lt;&gt;"",Transações!D18,"")</f>
        <v/>
      </c>
      <c r="E18" s="19" t="str">
        <f aca="false">IF(Transações!E18&lt;&gt;"",Transações!E18,"")</f>
        <v/>
      </c>
      <c r="F18" s="12" t="str">
        <f aca="false">IF(C18="Compra",D18*E18,IF(C18="Staking",D18*E18,""))</f>
        <v/>
      </c>
      <c r="G18" s="12" t="str">
        <f aca="false">IF(C18="Venda",IF(COUNTIF(A$3:A17,A18)&gt;0,(E18-SUMPRODUCT((A$3:A17=A18)*(C$3:C17="Compra")*F$3:F17)/IF(SUMPRODUCT((A$3:A17=A18)*(C$3:C17="Compra")*D$3:D17)=0,1,SUMPRODUCT((A$3:A17=A18)*(C$3:C17="Compra")*D$3:D17)))*D18,0),"")</f>
        <v/>
      </c>
      <c r="H18" s="12" t="str">
        <f aca="false">IF(C18="Venda",E18*D18,"")</f>
        <v/>
      </c>
    </row>
    <row r="19" customFormat="false" ht="15" hidden="false" customHeight="false" outlineLevel="0" collapsed="false">
      <c r="A19" s="14" t="str">
        <f aca="false">IF(Transações!C19&lt;&gt;"",Transações!C19,"")</f>
        <v/>
      </c>
      <c r="B19" s="14" t="str">
        <f aca="false">IF(Transações!A19&lt;&gt;"",Transações!A19,"")</f>
        <v/>
      </c>
      <c r="C19" s="14" t="str">
        <f aca="false">IF(Transações!B19&lt;&gt;"",Transações!B19,"")</f>
        <v/>
      </c>
      <c r="D19" s="15" t="str">
        <f aca="false">IF(Transações!D19&lt;&gt;"",Transações!D19,"")</f>
        <v/>
      </c>
      <c r="E19" s="16" t="str">
        <f aca="false">IF(Transações!E19&lt;&gt;"",Transações!E19,"")</f>
        <v/>
      </c>
      <c r="F19" s="7" t="str">
        <f aca="false">IF(C19="Compra",D19*E19,IF(C19="Staking",D19*E19,""))</f>
        <v/>
      </c>
      <c r="G19" s="7" t="str">
        <f aca="false">IF(C19="Venda",IF(COUNTIF(A$3:A18,A19)&gt;0,(E19-SUMPRODUCT((A$3:A18=A19)*(C$3:C18="Compra")*F$3:F18)/IF(SUMPRODUCT((A$3:A18=A19)*(C$3:C18="Compra")*D$3:D18)=0,1,SUMPRODUCT((A$3:A18=A19)*(C$3:C18="Compra")*D$3:D18)))*D19,0),"")</f>
        <v/>
      </c>
      <c r="H19" s="7" t="str">
        <f aca="false">IF(C19="Venda",E19*D19,"")</f>
        <v/>
      </c>
    </row>
    <row r="20" customFormat="false" ht="15" hidden="false" customHeight="false" outlineLevel="0" collapsed="false">
      <c r="A20" s="17" t="str">
        <f aca="false">IF(Transações!C20&lt;&gt;"",Transações!C20,"")</f>
        <v/>
      </c>
      <c r="B20" s="17" t="str">
        <f aca="false">IF(Transações!A20&lt;&gt;"",Transações!A20,"")</f>
        <v/>
      </c>
      <c r="C20" s="17" t="str">
        <f aca="false">IF(Transações!B20&lt;&gt;"",Transações!B20,"")</f>
        <v/>
      </c>
      <c r="D20" s="18" t="str">
        <f aca="false">IF(Transações!D20&lt;&gt;"",Transações!D20,"")</f>
        <v/>
      </c>
      <c r="E20" s="19" t="str">
        <f aca="false">IF(Transações!E20&lt;&gt;"",Transações!E20,"")</f>
        <v/>
      </c>
      <c r="F20" s="12" t="str">
        <f aca="false">IF(C20="Compra",D20*E20,IF(C20="Staking",D20*E20,""))</f>
        <v/>
      </c>
      <c r="G20" s="12" t="str">
        <f aca="false">IF(C20="Venda",IF(COUNTIF(A$3:A19,A20)&gt;0,(E20-SUMPRODUCT((A$3:A19=A20)*(C$3:C19="Compra")*F$3:F19)/IF(SUMPRODUCT((A$3:A19=A20)*(C$3:C19="Compra")*D$3:D19)=0,1,SUMPRODUCT((A$3:A19=A20)*(C$3:C19="Compra")*D$3:D19)))*D20,0),"")</f>
        <v/>
      </c>
      <c r="H20" s="12" t="str">
        <f aca="false">IF(C20="Venda",E20*D20,"")</f>
        <v/>
      </c>
    </row>
    <row r="21" customFormat="false" ht="15" hidden="false" customHeight="false" outlineLevel="0" collapsed="false">
      <c r="A21" s="14" t="str">
        <f aca="false">IF(Transações!C21&lt;&gt;"",Transações!C21,"")</f>
        <v/>
      </c>
      <c r="B21" s="14" t="str">
        <f aca="false">IF(Transações!A21&lt;&gt;"",Transações!A21,"")</f>
        <v/>
      </c>
      <c r="C21" s="14" t="str">
        <f aca="false">IF(Transações!B21&lt;&gt;"",Transações!B21,"")</f>
        <v/>
      </c>
      <c r="D21" s="15" t="str">
        <f aca="false">IF(Transações!D21&lt;&gt;"",Transações!D21,"")</f>
        <v/>
      </c>
      <c r="E21" s="16" t="str">
        <f aca="false">IF(Transações!E21&lt;&gt;"",Transações!E21,"")</f>
        <v/>
      </c>
      <c r="F21" s="7" t="str">
        <f aca="false">IF(C21="Compra",D21*E21,IF(C21="Staking",D21*E21,""))</f>
        <v/>
      </c>
      <c r="G21" s="7" t="str">
        <f aca="false">IF(C21="Venda",IF(COUNTIF(A$3:A20,A21)&gt;0,(E21-SUMPRODUCT((A$3:A20=A21)*(C$3:C20="Compra")*F$3:F20)/IF(SUMPRODUCT((A$3:A20=A21)*(C$3:C20="Compra")*D$3:D20)=0,1,SUMPRODUCT((A$3:A20=A21)*(C$3:C20="Compra")*D$3:D20)))*D21,0),"")</f>
        <v/>
      </c>
      <c r="H21" s="7" t="str">
        <f aca="false">IF(C21="Venda",E21*D21,"")</f>
        <v/>
      </c>
    </row>
    <row r="22" customFormat="false" ht="15" hidden="false" customHeight="false" outlineLevel="0" collapsed="false">
      <c r="A22" s="17" t="str">
        <f aca="false">IF(Transações!C22&lt;&gt;"",Transações!C22,"")</f>
        <v/>
      </c>
      <c r="B22" s="17" t="str">
        <f aca="false">IF(Transações!A22&lt;&gt;"",Transações!A22,"")</f>
        <v/>
      </c>
      <c r="C22" s="17" t="str">
        <f aca="false">IF(Transações!B22&lt;&gt;"",Transações!B22,"")</f>
        <v/>
      </c>
      <c r="D22" s="18" t="str">
        <f aca="false">IF(Transações!D22&lt;&gt;"",Transações!D22,"")</f>
        <v/>
      </c>
      <c r="E22" s="19" t="str">
        <f aca="false">IF(Transações!E22&lt;&gt;"",Transações!E22,"")</f>
        <v/>
      </c>
      <c r="F22" s="12" t="str">
        <f aca="false">IF(C22="Compra",D22*E22,IF(C22="Staking",D22*E22,""))</f>
        <v/>
      </c>
      <c r="G22" s="12" t="str">
        <f aca="false">IF(C22="Venda",IF(COUNTIF(A$3:A21,A22)&gt;0,(E22-SUMPRODUCT((A$3:A21=A22)*(C$3:C21="Compra")*F$3:F21)/IF(SUMPRODUCT((A$3:A21=A22)*(C$3:C21="Compra")*D$3:D21)=0,1,SUMPRODUCT((A$3:A21=A22)*(C$3:C21="Compra")*D$3:D21)))*D22,0),"")</f>
        <v/>
      </c>
      <c r="H22" s="12" t="str">
        <f aca="false">IF(C22="Venda",E22*D22,"")</f>
        <v/>
      </c>
    </row>
    <row r="23" customFormat="false" ht="15" hidden="false" customHeight="false" outlineLevel="0" collapsed="false">
      <c r="A23" s="14" t="str">
        <f aca="false">IF(Transações!C23&lt;&gt;"",Transações!C23,"")</f>
        <v/>
      </c>
      <c r="B23" s="14" t="str">
        <f aca="false">IF(Transações!A23&lt;&gt;"",Transações!A23,"")</f>
        <v/>
      </c>
      <c r="C23" s="14" t="str">
        <f aca="false">IF(Transações!B23&lt;&gt;"",Transações!B23,"")</f>
        <v/>
      </c>
      <c r="D23" s="15" t="str">
        <f aca="false">IF(Transações!D23&lt;&gt;"",Transações!D23,"")</f>
        <v/>
      </c>
      <c r="E23" s="16" t="str">
        <f aca="false">IF(Transações!E23&lt;&gt;"",Transações!E23,"")</f>
        <v/>
      </c>
      <c r="F23" s="7" t="str">
        <f aca="false">IF(C23="Compra",D23*E23,IF(C23="Staking",D23*E23,""))</f>
        <v/>
      </c>
      <c r="G23" s="7" t="str">
        <f aca="false">IF(C23="Venda",IF(COUNTIF(A$3:A22,A23)&gt;0,(E23-SUMPRODUCT((A$3:A22=A23)*(C$3:C22="Compra")*F$3:F22)/IF(SUMPRODUCT((A$3:A22=A23)*(C$3:C22="Compra")*D$3:D22)=0,1,SUMPRODUCT((A$3:A22=A23)*(C$3:C22="Compra")*D$3:D22)))*D23,0),"")</f>
        <v/>
      </c>
      <c r="H23" s="7" t="str">
        <f aca="false">IF(C23="Venda",E23*D23,"")</f>
        <v/>
      </c>
    </row>
    <row r="24" customFormat="false" ht="15" hidden="false" customHeight="false" outlineLevel="0" collapsed="false">
      <c r="A24" s="17" t="str">
        <f aca="false">IF(Transações!C24&lt;&gt;"",Transações!C24,"")</f>
        <v/>
      </c>
      <c r="B24" s="17" t="str">
        <f aca="false">IF(Transações!A24&lt;&gt;"",Transações!A24,"")</f>
        <v/>
      </c>
      <c r="C24" s="17" t="str">
        <f aca="false">IF(Transações!B24&lt;&gt;"",Transações!B24,"")</f>
        <v/>
      </c>
      <c r="D24" s="18" t="str">
        <f aca="false">IF(Transações!D24&lt;&gt;"",Transações!D24,"")</f>
        <v/>
      </c>
      <c r="E24" s="19" t="str">
        <f aca="false">IF(Transações!E24&lt;&gt;"",Transações!E24,"")</f>
        <v/>
      </c>
      <c r="F24" s="12" t="str">
        <f aca="false">IF(C24="Compra",D24*E24,IF(C24="Staking",D24*E24,""))</f>
        <v/>
      </c>
      <c r="G24" s="12" t="str">
        <f aca="false">IF(C24="Venda",IF(COUNTIF(A$3:A23,A24)&gt;0,(E24-SUMPRODUCT((A$3:A23=A24)*(C$3:C23="Compra")*F$3:F23)/IF(SUMPRODUCT((A$3:A23=A24)*(C$3:C23="Compra")*D$3:D23)=0,1,SUMPRODUCT((A$3:A23=A24)*(C$3:C23="Compra")*D$3:D23)))*D24,0),"")</f>
        <v/>
      </c>
      <c r="H24" s="12" t="str">
        <f aca="false">IF(C24="Venda",E24*D24,"")</f>
        <v/>
      </c>
    </row>
    <row r="25" customFormat="false" ht="15" hidden="false" customHeight="false" outlineLevel="0" collapsed="false">
      <c r="A25" s="14" t="str">
        <f aca="false">IF(Transações!C25&lt;&gt;"",Transações!C25,"")</f>
        <v/>
      </c>
      <c r="B25" s="14" t="str">
        <f aca="false">IF(Transações!A25&lt;&gt;"",Transações!A25,"")</f>
        <v/>
      </c>
      <c r="C25" s="14" t="str">
        <f aca="false">IF(Transações!B25&lt;&gt;"",Transações!B25,"")</f>
        <v/>
      </c>
      <c r="D25" s="15" t="str">
        <f aca="false">IF(Transações!D25&lt;&gt;"",Transações!D25,"")</f>
        <v/>
      </c>
      <c r="E25" s="16" t="str">
        <f aca="false">IF(Transações!E25&lt;&gt;"",Transações!E25,"")</f>
        <v/>
      </c>
      <c r="F25" s="7" t="str">
        <f aca="false">IF(C25="Compra",D25*E25,IF(C25="Staking",D25*E25,""))</f>
        <v/>
      </c>
      <c r="G25" s="7" t="str">
        <f aca="false">IF(C25="Venda",IF(COUNTIF(A$3:A24,A25)&gt;0,(E25-SUMPRODUCT((A$3:A24=A25)*(C$3:C24="Compra")*F$3:F24)/IF(SUMPRODUCT((A$3:A24=A25)*(C$3:C24="Compra")*D$3:D24)=0,1,SUMPRODUCT((A$3:A24=A25)*(C$3:C24="Compra")*D$3:D24)))*D25,0),"")</f>
        <v/>
      </c>
      <c r="H25" s="7" t="str">
        <f aca="false">IF(C25="Venda",E25*D25,"")</f>
        <v/>
      </c>
    </row>
    <row r="26" customFormat="false" ht="15" hidden="false" customHeight="false" outlineLevel="0" collapsed="false">
      <c r="A26" s="17" t="str">
        <f aca="false">IF(Transações!C26&lt;&gt;"",Transações!C26,"")</f>
        <v/>
      </c>
      <c r="B26" s="17" t="str">
        <f aca="false">IF(Transações!A26&lt;&gt;"",Transações!A26,"")</f>
        <v/>
      </c>
      <c r="C26" s="17" t="str">
        <f aca="false">IF(Transações!B26&lt;&gt;"",Transações!B26,"")</f>
        <v/>
      </c>
      <c r="D26" s="18" t="str">
        <f aca="false">IF(Transações!D26&lt;&gt;"",Transações!D26,"")</f>
        <v/>
      </c>
      <c r="E26" s="19" t="str">
        <f aca="false">IF(Transações!E26&lt;&gt;"",Transações!E26,"")</f>
        <v/>
      </c>
      <c r="F26" s="12" t="str">
        <f aca="false">IF(C26="Compra",D26*E26,IF(C26="Staking",D26*E26,""))</f>
        <v/>
      </c>
      <c r="G26" s="12" t="str">
        <f aca="false">IF(C26="Venda",IF(COUNTIF(A$3:A25,A26)&gt;0,(E26-SUMPRODUCT((A$3:A25=A26)*(C$3:C25="Compra")*F$3:F25)/IF(SUMPRODUCT((A$3:A25=A26)*(C$3:C25="Compra")*D$3:D25)=0,1,SUMPRODUCT((A$3:A25=A26)*(C$3:C25="Compra")*D$3:D25)))*D26,0),"")</f>
        <v/>
      </c>
      <c r="H26" s="12" t="str">
        <f aca="false">IF(C26="Venda",E26*D26,"")</f>
        <v/>
      </c>
    </row>
    <row r="27" customFormat="false" ht="15" hidden="false" customHeight="false" outlineLevel="0" collapsed="false">
      <c r="A27" s="14" t="str">
        <f aca="false">IF(Transações!C27&lt;&gt;"",Transações!C27,"")</f>
        <v/>
      </c>
      <c r="B27" s="14" t="str">
        <f aca="false">IF(Transações!A27&lt;&gt;"",Transações!A27,"")</f>
        <v/>
      </c>
      <c r="C27" s="14" t="str">
        <f aca="false">IF(Transações!B27&lt;&gt;"",Transações!B27,"")</f>
        <v/>
      </c>
      <c r="D27" s="15" t="str">
        <f aca="false">IF(Transações!D27&lt;&gt;"",Transações!D27,"")</f>
        <v/>
      </c>
      <c r="E27" s="16" t="str">
        <f aca="false">IF(Transações!E27&lt;&gt;"",Transações!E27,"")</f>
        <v/>
      </c>
      <c r="F27" s="7" t="str">
        <f aca="false">IF(C27="Compra",D27*E27,IF(C27="Staking",D27*E27,""))</f>
        <v/>
      </c>
      <c r="G27" s="7" t="str">
        <f aca="false">IF(C27="Venda",IF(COUNTIF(A$3:A26,A27)&gt;0,(E27-SUMPRODUCT((A$3:A26=A27)*(C$3:C26="Compra")*F$3:F26)/IF(SUMPRODUCT((A$3:A26=A27)*(C$3:C26="Compra")*D$3:D26)=0,1,SUMPRODUCT((A$3:A26=A27)*(C$3:C26="Compra")*D$3:D26)))*D27,0),"")</f>
        <v/>
      </c>
      <c r="H27" s="7" t="str">
        <f aca="false">IF(C27="Venda",E27*D27,"")</f>
        <v/>
      </c>
    </row>
    <row r="28" customFormat="false" ht="15" hidden="false" customHeight="false" outlineLevel="0" collapsed="false">
      <c r="A28" s="17" t="str">
        <f aca="false">IF(Transações!C28&lt;&gt;"",Transações!C28,"")</f>
        <v/>
      </c>
      <c r="B28" s="17" t="str">
        <f aca="false">IF(Transações!A28&lt;&gt;"",Transações!A28,"")</f>
        <v/>
      </c>
      <c r="C28" s="17" t="str">
        <f aca="false">IF(Transações!B28&lt;&gt;"",Transações!B28,"")</f>
        <v/>
      </c>
      <c r="D28" s="18" t="str">
        <f aca="false">IF(Transações!D28&lt;&gt;"",Transações!D28,"")</f>
        <v/>
      </c>
      <c r="E28" s="19" t="str">
        <f aca="false">IF(Transações!E28&lt;&gt;"",Transações!E28,"")</f>
        <v/>
      </c>
      <c r="F28" s="12" t="str">
        <f aca="false">IF(C28="Compra",D28*E28,IF(C28="Staking",D28*E28,""))</f>
        <v/>
      </c>
      <c r="G28" s="12" t="str">
        <f aca="false">IF(C28="Venda",IF(COUNTIF(A$3:A27,A28)&gt;0,(E28-SUMPRODUCT((A$3:A27=A28)*(C$3:C27="Compra")*F$3:F27)/IF(SUMPRODUCT((A$3:A27=A28)*(C$3:C27="Compra")*D$3:D27)=0,1,SUMPRODUCT((A$3:A27=A28)*(C$3:C27="Compra")*D$3:D27)))*D28,0),"")</f>
        <v/>
      </c>
      <c r="H28" s="12" t="str">
        <f aca="false">IF(C28="Venda",E28*D28,"")</f>
        <v/>
      </c>
    </row>
    <row r="29" customFormat="false" ht="15" hidden="false" customHeight="false" outlineLevel="0" collapsed="false">
      <c r="A29" s="14" t="str">
        <f aca="false">IF(Transações!C29&lt;&gt;"",Transações!C29,"")</f>
        <v/>
      </c>
      <c r="B29" s="14" t="str">
        <f aca="false">IF(Transações!A29&lt;&gt;"",Transações!A29,"")</f>
        <v/>
      </c>
      <c r="C29" s="14" t="str">
        <f aca="false">IF(Transações!B29&lt;&gt;"",Transações!B29,"")</f>
        <v/>
      </c>
      <c r="D29" s="15" t="str">
        <f aca="false">IF(Transações!D29&lt;&gt;"",Transações!D29,"")</f>
        <v/>
      </c>
      <c r="E29" s="16" t="str">
        <f aca="false">IF(Transações!E29&lt;&gt;"",Transações!E29,"")</f>
        <v/>
      </c>
      <c r="F29" s="7" t="str">
        <f aca="false">IF(C29="Compra",D29*E29,IF(C29="Staking",D29*E29,""))</f>
        <v/>
      </c>
      <c r="G29" s="7" t="str">
        <f aca="false">IF(C29="Venda",IF(COUNTIF(A$3:A28,A29)&gt;0,(E29-SUMPRODUCT((A$3:A28=A29)*(C$3:C28="Compra")*F$3:F28)/IF(SUMPRODUCT((A$3:A28=A29)*(C$3:C28="Compra")*D$3:D28)=0,1,SUMPRODUCT((A$3:A28=A29)*(C$3:C28="Compra")*D$3:D28)))*D29,0),"")</f>
        <v/>
      </c>
      <c r="H29" s="7" t="str">
        <f aca="false">IF(C29="Venda",E29*D29,"")</f>
        <v/>
      </c>
    </row>
    <row r="30" customFormat="false" ht="15" hidden="false" customHeight="false" outlineLevel="0" collapsed="false">
      <c r="A30" s="17" t="str">
        <f aca="false">IF(Transações!C30&lt;&gt;"",Transações!C30,"")</f>
        <v/>
      </c>
      <c r="B30" s="17" t="str">
        <f aca="false">IF(Transações!A30&lt;&gt;"",Transações!A30,"")</f>
        <v/>
      </c>
      <c r="C30" s="17" t="str">
        <f aca="false">IF(Transações!B30&lt;&gt;"",Transações!B30,"")</f>
        <v/>
      </c>
      <c r="D30" s="18" t="str">
        <f aca="false">IF(Transações!D30&lt;&gt;"",Transações!D30,"")</f>
        <v/>
      </c>
      <c r="E30" s="19" t="str">
        <f aca="false">IF(Transações!E30&lt;&gt;"",Transações!E30,"")</f>
        <v/>
      </c>
      <c r="F30" s="12" t="str">
        <f aca="false">IF(C30="Compra",D30*E30,IF(C30="Staking",D30*E30,""))</f>
        <v/>
      </c>
      <c r="G30" s="12" t="str">
        <f aca="false">IF(C30="Venda",IF(COUNTIF(A$3:A29,A30)&gt;0,(E30-SUMPRODUCT((A$3:A29=A30)*(C$3:C29="Compra")*F$3:F29)/IF(SUMPRODUCT((A$3:A29=A30)*(C$3:C29="Compra")*D$3:D29)=0,1,SUMPRODUCT((A$3:A29=A30)*(C$3:C29="Compra")*D$3:D29)))*D30,0),"")</f>
        <v/>
      </c>
      <c r="H30" s="12" t="str">
        <f aca="false">IF(C30="Venda",E30*D30,"")</f>
        <v/>
      </c>
    </row>
    <row r="31" customFormat="false" ht="15" hidden="false" customHeight="false" outlineLevel="0" collapsed="false">
      <c r="A31" s="14" t="str">
        <f aca="false">IF(Transações!C31&lt;&gt;"",Transações!C31,"")</f>
        <v/>
      </c>
      <c r="B31" s="14" t="str">
        <f aca="false">IF(Transações!A31&lt;&gt;"",Transações!A31,"")</f>
        <v/>
      </c>
      <c r="C31" s="14" t="str">
        <f aca="false">IF(Transações!B31&lt;&gt;"",Transações!B31,"")</f>
        <v/>
      </c>
      <c r="D31" s="15" t="str">
        <f aca="false">IF(Transações!D31&lt;&gt;"",Transações!D31,"")</f>
        <v/>
      </c>
      <c r="E31" s="16" t="str">
        <f aca="false">IF(Transações!E31&lt;&gt;"",Transações!E31,"")</f>
        <v/>
      </c>
      <c r="F31" s="7" t="str">
        <f aca="false">IF(C31="Compra",D31*E31,IF(C31="Staking",D31*E31,""))</f>
        <v/>
      </c>
      <c r="G31" s="7" t="str">
        <f aca="false">IF(C31="Venda",IF(COUNTIF(A$3:A30,A31)&gt;0,(E31-SUMPRODUCT((A$3:A30=A31)*(C$3:C30="Compra")*F$3:F30)/IF(SUMPRODUCT((A$3:A30=A31)*(C$3:C30="Compra")*D$3:D30)=0,1,SUMPRODUCT((A$3:A30=A31)*(C$3:C30="Compra")*D$3:D30)))*D31,0),"")</f>
        <v/>
      </c>
      <c r="H31" s="7" t="str">
        <f aca="false">IF(C31="Venda",E31*D31,"")</f>
        <v/>
      </c>
    </row>
    <row r="32" customFormat="false" ht="15" hidden="false" customHeight="false" outlineLevel="0" collapsed="false">
      <c r="A32" s="17" t="str">
        <f aca="false">IF(Transações!C32&lt;&gt;"",Transações!C32,"")</f>
        <v/>
      </c>
      <c r="B32" s="17" t="str">
        <f aca="false">IF(Transações!A32&lt;&gt;"",Transações!A32,"")</f>
        <v/>
      </c>
      <c r="C32" s="17" t="str">
        <f aca="false">IF(Transações!B32&lt;&gt;"",Transações!B32,"")</f>
        <v/>
      </c>
      <c r="D32" s="18" t="str">
        <f aca="false">IF(Transações!D32&lt;&gt;"",Transações!D32,"")</f>
        <v/>
      </c>
      <c r="E32" s="19" t="str">
        <f aca="false">IF(Transações!E32&lt;&gt;"",Transações!E32,"")</f>
        <v/>
      </c>
      <c r="F32" s="12" t="str">
        <f aca="false">IF(C32="Compra",D32*E32,IF(C32="Staking",D32*E32,""))</f>
        <v/>
      </c>
      <c r="G32" s="12" t="str">
        <f aca="false">IF(C32="Venda",IF(COUNTIF(A$3:A31,A32)&gt;0,(E32-SUMPRODUCT((A$3:A31=A32)*(C$3:C31="Compra")*F$3:F31)/IF(SUMPRODUCT((A$3:A31=A32)*(C$3:C31="Compra")*D$3:D31)=0,1,SUMPRODUCT((A$3:A31=A32)*(C$3:C31="Compra")*D$3:D31)))*D32,0),"")</f>
        <v/>
      </c>
      <c r="H32" s="12" t="str">
        <f aca="false">IF(C32="Venda",E32*D32,"")</f>
        <v/>
      </c>
    </row>
    <row r="33" customFormat="false" ht="15" hidden="false" customHeight="false" outlineLevel="0" collapsed="false">
      <c r="A33" s="14" t="str">
        <f aca="false">IF(Transações!C33&lt;&gt;"",Transações!C33,"")</f>
        <v/>
      </c>
      <c r="B33" s="14" t="str">
        <f aca="false">IF(Transações!A33&lt;&gt;"",Transações!A33,"")</f>
        <v/>
      </c>
      <c r="C33" s="14" t="str">
        <f aca="false">IF(Transações!B33&lt;&gt;"",Transações!B33,"")</f>
        <v/>
      </c>
      <c r="D33" s="15" t="str">
        <f aca="false">IF(Transações!D33&lt;&gt;"",Transações!D33,"")</f>
        <v/>
      </c>
      <c r="E33" s="16" t="str">
        <f aca="false">IF(Transações!E33&lt;&gt;"",Transações!E33,"")</f>
        <v/>
      </c>
      <c r="F33" s="7" t="str">
        <f aca="false">IF(C33="Compra",D33*E33,IF(C33="Staking",D33*E33,""))</f>
        <v/>
      </c>
      <c r="G33" s="7" t="str">
        <f aca="false">IF(C33="Venda",IF(COUNTIF(A$3:A32,A33)&gt;0,(E33-SUMPRODUCT((A$3:A32=A33)*(C$3:C32="Compra")*F$3:F32)/IF(SUMPRODUCT((A$3:A32=A33)*(C$3:C32="Compra")*D$3:D32)=0,1,SUMPRODUCT((A$3:A32=A33)*(C$3:C32="Compra")*D$3:D32)))*D33,0),"")</f>
        <v/>
      </c>
      <c r="H33" s="7" t="str">
        <f aca="false">IF(C33="Venda",E33*D33,"")</f>
        <v/>
      </c>
    </row>
    <row r="34" customFormat="false" ht="15" hidden="false" customHeight="false" outlineLevel="0" collapsed="false">
      <c r="A34" s="17" t="str">
        <f aca="false">IF(Transações!C34&lt;&gt;"",Transações!C34,"")</f>
        <v/>
      </c>
      <c r="B34" s="17" t="str">
        <f aca="false">IF(Transações!A34&lt;&gt;"",Transações!A34,"")</f>
        <v/>
      </c>
      <c r="C34" s="17" t="str">
        <f aca="false">IF(Transações!B34&lt;&gt;"",Transações!B34,"")</f>
        <v/>
      </c>
      <c r="D34" s="18" t="str">
        <f aca="false">IF(Transações!D34&lt;&gt;"",Transações!D34,"")</f>
        <v/>
      </c>
      <c r="E34" s="19" t="str">
        <f aca="false">IF(Transações!E34&lt;&gt;"",Transações!E34,"")</f>
        <v/>
      </c>
      <c r="F34" s="12" t="str">
        <f aca="false">IF(C34="Compra",D34*E34,IF(C34="Staking",D34*E34,""))</f>
        <v/>
      </c>
      <c r="G34" s="12" t="str">
        <f aca="false">IF(C34="Venda",IF(COUNTIF(A$3:A33,A34)&gt;0,(E34-SUMPRODUCT((A$3:A33=A34)*(C$3:C33="Compra")*F$3:F33)/IF(SUMPRODUCT((A$3:A33=A34)*(C$3:C33="Compra")*D$3:D33)=0,1,SUMPRODUCT((A$3:A33=A34)*(C$3:C33="Compra")*D$3:D33)))*D34,0),"")</f>
        <v/>
      </c>
      <c r="H34" s="12" t="str">
        <f aca="false">IF(C34="Venda",E34*D34,"")</f>
        <v/>
      </c>
    </row>
    <row r="35" customFormat="false" ht="15" hidden="false" customHeight="false" outlineLevel="0" collapsed="false">
      <c r="A35" s="14" t="str">
        <f aca="false">IF(Transações!C35&lt;&gt;"",Transações!C35,"")</f>
        <v/>
      </c>
      <c r="B35" s="14" t="str">
        <f aca="false">IF(Transações!A35&lt;&gt;"",Transações!A35,"")</f>
        <v/>
      </c>
      <c r="C35" s="14" t="str">
        <f aca="false">IF(Transações!B35&lt;&gt;"",Transações!B35,"")</f>
        <v/>
      </c>
      <c r="D35" s="15" t="str">
        <f aca="false">IF(Transações!D35&lt;&gt;"",Transações!D35,"")</f>
        <v/>
      </c>
      <c r="E35" s="16" t="str">
        <f aca="false">IF(Transações!E35&lt;&gt;"",Transações!E35,"")</f>
        <v/>
      </c>
      <c r="F35" s="7" t="str">
        <f aca="false">IF(C35="Compra",D35*E35,IF(C35="Staking",D35*E35,""))</f>
        <v/>
      </c>
      <c r="G35" s="7" t="str">
        <f aca="false">IF(C35="Venda",IF(COUNTIF(A$3:A34,A35)&gt;0,(E35-SUMPRODUCT((A$3:A34=A35)*(C$3:C34="Compra")*F$3:F34)/IF(SUMPRODUCT((A$3:A34=A35)*(C$3:C34="Compra")*D$3:D34)=0,1,SUMPRODUCT((A$3:A34=A35)*(C$3:C34="Compra")*D$3:D34)))*D35,0),"")</f>
        <v/>
      </c>
      <c r="H35" s="7" t="str">
        <f aca="false">IF(C35="Venda",E35*D35,"")</f>
        <v/>
      </c>
    </row>
    <row r="36" customFormat="false" ht="15" hidden="false" customHeight="false" outlineLevel="0" collapsed="false">
      <c r="A36" s="17" t="str">
        <f aca="false">IF(Transações!C36&lt;&gt;"",Transações!C36,"")</f>
        <v/>
      </c>
      <c r="B36" s="17" t="str">
        <f aca="false">IF(Transações!A36&lt;&gt;"",Transações!A36,"")</f>
        <v/>
      </c>
      <c r="C36" s="17" t="str">
        <f aca="false">IF(Transações!B36&lt;&gt;"",Transações!B36,"")</f>
        <v/>
      </c>
      <c r="D36" s="18" t="str">
        <f aca="false">IF(Transações!D36&lt;&gt;"",Transações!D36,"")</f>
        <v/>
      </c>
      <c r="E36" s="19" t="str">
        <f aca="false">IF(Transações!E36&lt;&gt;"",Transações!E36,"")</f>
        <v/>
      </c>
      <c r="F36" s="12" t="str">
        <f aca="false">IF(C36="Compra",D36*E36,IF(C36="Staking",D36*E36,""))</f>
        <v/>
      </c>
      <c r="G36" s="12" t="str">
        <f aca="false">IF(C36="Venda",IF(COUNTIF(A$3:A35,A36)&gt;0,(E36-SUMPRODUCT((A$3:A35=A36)*(C$3:C35="Compra")*F$3:F35)/IF(SUMPRODUCT((A$3:A35=A36)*(C$3:C35="Compra")*D$3:D35)=0,1,SUMPRODUCT((A$3:A35=A36)*(C$3:C35="Compra")*D$3:D35)))*D36,0),"")</f>
        <v/>
      </c>
      <c r="H36" s="12" t="str">
        <f aca="false">IF(C36="Venda",E36*D36,"")</f>
        <v/>
      </c>
    </row>
    <row r="37" customFormat="false" ht="15" hidden="false" customHeight="false" outlineLevel="0" collapsed="false">
      <c r="A37" s="14" t="str">
        <f aca="false">IF(Transações!C37&lt;&gt;"",Transações!C37,"")</f>
        <v/>
      </c>
      <c r="B37" s="14" t="str">
        <f aca="false">IF(Transações!A37&lt;&gt;"",Transações!A37,"")</f>
        <v/>
      </c>
      <c r="C37" s="14" t="str">
        <f aca="false">IF(Transações!B37&lt;&gt;"",Transações!B37,"")</f>
        <v/>
      </c>
      <c r="D37" s="15" t="str">
        <f aca="false">IF(Transações!D37&lt;&gt;"",Transações!D37,"")</f>
        <v/>
      </c>
      <c r="E37" s="16" t="str">
        <f aca="false">IF(Transações!E37&lt;&gt;"",Transações!E37,"")</f>
        <v/>
      </c>
      <c r="F37" s="7" t="str">
        <f aca="false">IF(C37="Compra",D37*E37,IF(C37="Staking",D37*E37,""))</f>
        <v/>
      </c>
      <c r="G37" s="7" t="str">
        <f aca="false">IF(C37="Venda",IF(COUNTIF(A$3:A36,A37)&gt;0,(E37-SUMPRODUCT((A$3:A36=A37)*(C$3:C36="Compra")*F$3:F36)/IF(SUMPRODUCT((A$3:A36=A37)*(C$3:C36="Compra")*D$3:D36)=0,1,SUMPRODUCT((A$3:A36=A37)*(C$3:C36="Compra")*D$3:D36)))*D37,0),"")</f>
        <v/>
      </c>
      <c r="H37" s="7" t="str">
        <f aca="false">IF(C37="Venda",E37*D37,"")</f>
        <v/>
      </c>
    </row>
    <row r="38" customFormat="false" ht="15" hidden="false" customHeight="false" outlineLevel="0" collapsed="false">
      <c r="A38" s="17" t="str">
        <f aca="false">IF(Transações!C38&lt;&gt;"",Transações!C38,"")</f>
        <v/>
      </c>
      <c r="B38" s="17" t="str">
        <f aca="false">IF(Transações!A38&lt;&gt;"",Transações!A38,"")</f>
        <v/>
      </c>
      <c r="C38" s="17" t="str">
        <f aca="false">IF(Transações!B38&lt;&gt;"",Transações!B38,"")</f>
        <v/>
      </c>
      <c r="D38" s="18" t="str">
        <f aca="false">IF(Transações!D38&lt;&gt;"",Transações!D38,"")</f>
        <v/>
      </c>
      <c r="E38" s="19" t="str">
        <f aca="false">IF(Transações!E38&lt;&gt;"",Transações!E38,"")</f>
        <v/>
      </c>
      <c r="F38" s="12" t="str">
        <f aca="false">IF(C38="Compra",D38*E38,IF(C38="Staking",D38*E38,""))</f>
        <v/>
      </c>
      <c r="G38" s="12" t="str">
        <f aca="false">IF(C38="Venda",IF(COUNTIF(A$3:A37,A38)&gt;0,(E38-SUMPRODUCT((A$3:A37=A38)*(C$3:C37="Compra")*F$3:F37)/IF(SUMPRODUCT((A$3:A37=A38)*(C$3:C37="Compra")*D$3:D37)=0,1,SUMPRODUCT((A$3:A37=A38)*(C$3:C37="Compra")*D$3:D37)))*D38,0),"")</f>
        <v/>
      </c>
      <c r="H38" s="12" t="str">
        <f aca="false">IF(C38="Venda",E38*D38,"")</f>
        <v/>
      </c>
    </row>
    <row r="39" customFormat="false" ht="15" hidden="false" customHeight="false" outlineLevel="0" collapsed="false">
      <c r="A39" s="14" t="str">
        <f aca="false">IF(Transações!C39&lt;&gt;"",Transações!C39,"")</f>
        <v/>
      </c>
      <c r="B39" s="14" t="str">
        <f aca="false">IF(Transações!A39&lt;&gt;"",Transações!A39,"")</f>
        <v/>
      </c>
      <c r="C39" s="14" t="str">
        <f aca="false">IF(Transações!B39&lt;&gt;"",Transações!B39,"")</f>
        <v/>
      </c>
      <c r="D39" s="15" t="str">
        <f aca="false">IF(Transações!D39&lt;&gt;"",Transações!D39,"")</f>
        <v/>
      </c>
      <c r="E39" s="16" t="str">
        <f aca="false">IF(Transações!E39&lt;&gt;"",Transações!E39,"")</f>
        <v/>
      </c>
      <c r="F39" s="7" t="str">
        <f aca="false">IF(C39="Compra",D39*E39,IF(C39="Staking",D39*E39,""))</f>
        <v/>
      </c>
      <c r="G39" s="7" t="str">
        <f aca="false">IF(C39="Venda",IF(COUNTIF(A$3:A38,A39)&gt;0,(E39-SUMPRODUCT((A$3:A38=A39)*(C$3:C38="Compra")*F$3:F38)/IF(SUMPRODUCT((A$3:A38=A39)*(C$3:C38="Compra")*D$3:D38)=0,1,SUMPRODUCT((A$3:A38=A39)*(C$3:C38="Compra")*D$3:D38)))*D39,0),"")</f>
        <v/>
      </c>
      <c r="H39" s="7" t="str">
        <f aca="false">IF(C39="Venda",E39*D39,"")</f>
        <v/>
      </c>
    </row>
    <row r="40" customFormat="false" ht="15" hidden="false" customHeight="false" outlineLevel="0" collapsed="false">
      <c r="A40" s="17" t="str">
        <f aca="false">IF(Transações!C40&lt;&gt;"",Transações!C40,"")</f>
        <v/>
      </c>
      <c r="B40" s="17" t="str">
        <f aca="false">IF(Transações!A40&lt;&gt;"",Transações!A40,"")</f>
        <v/>
      </c>
      <c r="C40" s="17" t="str">
        <f aca="false">IF(Transações!B40&lt;&gt;"",Transações!B40,"")</f>
        <v/>
      </c>
      <c r="D40" s="18" t="str">
        <f aca="false">IF(Transações!D40&lt;&gt;"",Transações!D40,"")</f>
        <v/>
      </c>
      <c r="E40" s="19" t="str">
        <f aca="false">IF(Transações!E40&lt;&gt;"",Transações!E40,"")</f>
        <v/>
      </c>
      <c r="F40" s="12" t="str">
        <f aca="false">IF(C40="Compra",D40*E40,IF(C40="Staking",D40*E40,""))</f>
        <v/>
      </c>
      <c r="G40" s="12" t="str">
        <f aca="false">IF(C40="Venda",IF(COUNTIF(A$3:A39,A40)&gt;0,(E40-SUMPRODUCT((A$3:A39=A40)*(C$3:C39="Compra")*F$3:F39)/IF(SUMPRODUCT((A$3:A39=A40)*(C$3:C39="Compra")*D$3:D39)=0,1,SUMPRODUCT((A$3:A39=A40)*(C$3:C39="Compra")*D$3:D39)))*D40,0),"")</f>
        <v/>
      </c>
      <c r="H40" s="12" t="str">
        <f aca="false">IF(C40="Venda",E40*D40,"")</f>
        <v/>
      </c>
    </row>
    <row r="41" customFormat="false" ht="15" hidden="false" customHeight="false" outlineLevel="0" collapsed="false">
      <c r="A41" s="14" t="str">
        <f aca="false">IF(Transações!C41&lt;&gt;"",Transações!C41,"")</f>
        <v/>
      </c>
      <c r="B41" s="14" t="str">
        <f aca="false">IF(Transações!A41&lt;&gt;"",Transações!A41,"")</f>
        <v/>
      </c>
      <c r="C41" s="14" t="str">
        <f aca="false">IF(Transações!B41&lt;&gt;"",Transações!B41,"")</f>
        <v/>
      </c>
      <c r="D41" s="15" t="str">
        <f aca="false">IF(Transações!D41&lt;&gt;"",Transações!D41,"")</f>
        <v/>
      </c>
      <c r="E41" s="16" t="str">
        <f aca="false">IF(Transações!E41&lt;&gt;"",Transações!E41,"")</f>
        <v/>
      </c>
      <c r="F41" s="7" t="str">
        <f aca="false">IF(C41="Compra",D41*E41,IF(C41="Staking",D41*E41,""))</f>
        <v/>
      </c>
      <c r="G41" s="7" t="str">
        <f aca="false">IF(C41="Venda",IF(COUNTIF(A$3:A40,A41)&gt;0,(E41-SUMPRODUCT((A$3:A40=A41)*(C$3:C40="Compra")*F$3:F40)/IF(SUMPRODUCT((A$3:A40=A41)*(C$3:C40="Compra")*D$3:D40)=0,1,SUMPRODUCT((A$3:A40=A41)*(C$3:C40="Compra")*D$3:D40)))*D41,0),"")</f>
        <v/>
      </c>
      <c r="H41" s="7" t="str">
        <f aca="false">IF(C41="Venda",E41*D41,"")</f>
        <v/>
      </c>
    </row>
    <row r="42" customFormat="false" ht="15" hidden="false" customHeight="false" outlineLevel="0" collapsed="false">
      <c r="A42" s="17" t="str">
        <f aca="false">IF(Transações!C42&lt;&gt;"",Transações!C42,"")</f>
        <v/>
      </c>
      <c r="B42" s="17" t="str">
        <f aca="false">IF(Transações!A42&lt;&gt;"",Transações!A42,"")</f>
        <v/>
      </c>
      <c r="C42" s="17" t="str">
        <f aca="false">IF(Transações!B42&lt;&gt;"",Transações!B42,"")</f>
        <v/>
      </c>
      <c r="D42" s="18" t="str">
        <f aca="false">IF(Transações!D42&lt;&gt;"",Transações!D42,"")</f>
        <v/>
      </c>
      <c r="E42" s="19" t="str">
        <f aca="false">IF(Transações!E42&lt;&gt;"",Transações!E42,"")</f>
        <v/>
      </c>
      <c r="F42" s="12" t="str">
        <f aca="false">IF(C42="Compra",D42*E42,IF(C42="Staking",D42*E42,""))</f>
        <v/>
      </c>
      <c r="G42" s="12" t="str">
        <f aca="false">IF(C42="Venda",IF(COUNTIF(A$3:A41,A42)&gt;0,(E42-SUMPRODUCT((A$3:A41=A42)*(C$3:C41="Compra")*F$3:F41)/IF(SUMPRODUCT((A$3:A41=A42)*(C$3:C41="Compra")*D$3:D41)=0,1,SUMPRODUCT((A$3:A41=A42)*(C$3:C41="Compra")*D$3:D41)))*D42,0),"")</f>
        <v/>
      </c>
      <c r="H42" s="12" t="str">
        <f aca="false">IF(C42="Venda",E42*D42,"")</f>
        <v/>
      </c>
    </row>
    <row r="43" customFormat="false" ht="15" hidden="false" customHeight="false" outlineLevel="0" collapsed="false">
      <c r="A43" s="14" t="str">
        <f aca="false">IF(Transações!C43&lt;&gt;"",Transações!C43,"")</f>
        <v/>
      </c>
      <c r="B43" s="14" t="str">
        <f aca="false">IF(Transações!A43&lt;&gt;"",Transações!A43,"")</f>
        <v/>
      </c>
      <c r="C43" s="14" t="str">
        <f aca="false">IF(Transações!B43&lt;&gt;"",Transações!B43,"")</f>
        <v/>
      </c>
      <c r="D43" s="15" t="str">
        <f aca="false">IF(Transações!D43&lt;&gt;"",Transações!D43,"")</f>
        <v/>
      </c>
      <c r="E43" s="16" t="str">
        <f aca="false">IF(Transações!E43&lt;&gt;"",Transações!E43,"")</f>
        <v/>
      </c>
      <c r="F43" s="7" t="str">
        <f aca="false">IF(C43="Compra",D43*E43,IF(C43="Staking",D43*E43,""))</f>
        <v/>
      </c>
      <c r="G43" s="7" t="str">
        <f aca="false">IF(C43="Venda",IF(COUNTIF(A$3:A42,A43)&gt;0,(E43-SUMPRODUCT((A$3:A42=A43)*(C$3:C42="Compra")*F$3:F42)/IF(SUMPRODUCT((A$3:A42=A43)*(C$3:C42="Compra")*D$3:D42)=0,1,SUMPRODUCT((A$3:A42=A43)*(C$3:C42="Compra")*D$3:D42)))*D43,0),"")</f>
        <v/>
      </c>
      <c r="H43" s="7" t="str">
        <f aca="false">IF(C43="Venda",E43*D43,"")</f>
        <v/>
      </c>
    </row>
    <row r="44" customFormat="false" ht="15" hidden="false" customHeight="false" outlineLevel="0" collapsed="false">
      <c r="A44" s="17" t="str">
        <f aca="false">IF(Transações!C44&lt;&gt;"",Transações!C44,"")</f>
        <v/>
      </c>
      <c r="B44" s="17" t="str">
        <f aca="false">IF(Transações!A44&lt;&gt;"",Transações!A44,"")</f>
        <v/>
      </c>
      <c r="C44" s="17" t="str">
        <f aca="false">IF(Transações!B44&lt;&gt;"",Transações!B44,"")</f>
        <v/>
      </c>
      <c r="D44" s="18" t="str">
        <f aca="false">IF(Transações!D44&lt;&gt;"",Transações!D44,"")</f>
        <v/>
      </c>
      <c r="E44" s="19" t="str">
        <f aca="false">IF(Transações!E44&lt;&gt;"",Transações!E44,"")</f>
        <v/>
      </c>
      <c r="F44" s="12" t="str">
        <f aca="false">IF(C44="Compra",D44*E44,IF(C44="Staking",D44*E44,""))</f>
        <v/>
      </c>
      <c r="G44" s="12" t="str">
        <f aca="false">IF(C44="Venda",IF(COUNTIF(A$3:A43,A44)&gt;0,(E44-SUMPRODUCT((A$3:A43=A44)*(C$3:C43="Compra")*F$3:F43)/IF(SUMPRODUCT((A$3:A43=A44)*(C$3:C43="Compra")*D$3:D43)=0,1,SUMPRODUCT((A$3:A43=A44)*(C$3:C43="Compra")*D$3:D43)))*D44,0),"")</f>
        <v/>
      </c>
      <c r="H44" s="12" t="str">
        <f aca="false">IF(C44="Venda",E44*D44,"")</f>
        <v/>
      </c>
    </row>
    <row r="45" customFormat="false" ht="15" hidden="false" customHeight="false" outlineLevel="0" collapsed="false">
      <c r="A45" s="14" t="str">
        <f aca="false">IF(Transações!C45&lt;&gt;"",Transações!C45,"")</f>
        <v/>
      </c>
      <c r="B45" s="14" t="str">
        <f aca="false">IF(Transações!A45&lt;&gt;"",Transações!A45,"")</f>
        <v/>
      </c>
      <c r="C45" s="14" t="str">
        <f aca="false">IF(Transações!B45&lt;&gt;"",Transações!B45,"")</f>
        <v/>
      </c>
      <c r="D45" s="15" t="str">
        <f aca="false">IF(Transações!D45&lt;&gt;"",Transações!D45,"")</f>
        <v/>
      </c>
      <c r="E45" s="16" t="str">
        <f aca="false">IF(Transações!E45&lt;&gt;"",Transações!E45,"")</f>
        <v/>
      </c>
      <c r="F45" s="7" t="str">
        <f aca="false">IF(C45="Compra",D45*E45,IF(C45="Staking",D45*E45,""))</f>
        <v/>
      </c>
      <c r="G45" s="7" t="str">
        <f aca="false">IF(C45="Venda",IF(COUNTIF(A$3:A44,A45)&gt;0,(E45-SUMPRODUCT((A$3:A44=A45)*(C$3:C44="Compra")*F$3:F44)/IF(SUMPRODUCT((A$3:A44=A45)*(C$3:C44="Compra")*D$3:D44)=0,1,SUMPRODUCT((A$3:A44=A45)*(C$3:C44="Compra")*D$3:D44)))*D45,0),"")</f>
        <v/>
      </c>
      <c r="H45" s="7" t="str">
        <f aca="false">IF(C45="Venda",E45*D45,"")</f>
        <v/>
      </c>
    </row>
    <row r="46" customFormat="false" ht="15" hidden="false" customHeight="false" outlineLevel="0" collapsed="false">
      <c r="A46" s="17" t="str">
        <f aca="false">IF(Transações!C46&lt;&gt;"",Transações!C46,"")</f>
        <v/>
      </c>
      <c r="B46" s="17" t="str">
        <f aca="false">IF(Transações!A46&lt;&gt;"",Transações!A46,"")</f>
        <v/>
      </c>
      <c r="C46" s="17" t="str">
        <f aca="false">IF(Transações!B46&lt;&gt;"",Transações!B46,"")</f>
        <v/>
      </c>
      <c r="D46" s="18" t="str">
        <f aca="false">IF(Transações!D46&lt;&gt;"",Transações!D46,"")</f>
        <v/>
      </c>
      <c r="E46" s="19" t="str">
        <f aca="false">IF(Transações!E46&lt;&gt;"",Transações!E46,"")</f>
        <v/>
      </c>
      <c r="F46" s="12" t="str">
        <f aca="false">IF(C46="Compra",D46*E46,IF(C46="Staking",D46*E46,""))</f>
        <v/>
      </c>
      <c r="G46" s="12" t="str">
        <f aca="false">IF(C46="Venda",IF(COUNTIF(A$3:A45,A46)&gt;0,(E46-SUMPRODUCT((A$3:A45=A46)*(C$3:C45="Compra")*F$3:F45)/IF(SUMPRODUCT((A$3:A45=A46)*(C$3:C45="Compra")*D$3:D45)=0,1,SUMPRODUCT((A$3:A45=A46)*(C$3:C45="Compra")*D$3:D45)))*D46,0),"")</f>
        <v/>
      </c>
      <c r="H46" s="12" t="str">
        <f aca="false">IF(C46="Venda",E46*D46,"")</f>
        <v/>
      </c>
    </row>
    <row r="47" customFormat="false" ht="15" hidden="false" customHeight="false" outlineLevel="0" collapsed="false">
      <c r="A47" s="14" t="str">
        <f aca="false">IF(Transações!C47&lt;&gt;"",Transações!C47,"")</f>
        <v/>
      </c>
      <c r="B47" s="14" t="str">
        <f aca="false">IF(Transações!A47&lt;&gt;"",Transações!A47,"")</f>
        <v/>
      </c>
      <c r="C47" s="14" t="str">
        <f aca="false">IF(Transações!B47&lt;&gt;"",Transações!B47,"")</f>
        <v/>
      </c>
      <c r="D47" s="15" t="str">
        <f aca="false">IF(Transações!D47&lt;&gt;"",Transações!D47,"")</f>
        <v/>
      </c>
      <c r="E47" s="16" t="str">
        <f aca="false">IF(Transações!E47&lt;&gt;"",Transações!E47,"")</f>
        <v/>
      </c>
      <c r="F47" s="7" t="str">
        <f aca="false">IF(C47="Compra",D47*E47,IF(C47="Staking",D47*E47,""))</f>
        <v/>
      </c>
      <c r="G47" s="7" t="str">
        <f aca="false">IF(C47="Venda",IF(COUNTIF(A$3:A46,A47)&gt;0,(E47-SUMPRODUCT((A$3:A46=A47)*(C$3:C46="Compra")*F$3:F46)/IF(SUMPRODUCT((A$3:A46=A47)*(C$3:C46="Compra")*D$3:D46)=0,1,SUMPRODUCT((A$3:A46=A47)*(C$3:C46="Compra")*D$3:D46)))*D47,0),"")</f>
        <v/>
      </c>
      <c r="H47" s="7" t="str">
        <f aca="false">IF(C47="Venda",E47*D47,"")</f>
        <v/>
      </c>
    </row>
    <row r="48" customFormat="false" ht="15" hidden="false" customHeight="false" outlineLevel="0" collapsed="false">
      <c r="A48" s="17" t="str">
        <f aca="false">IF(Transações!C48&lt;&gt;"",Transações!C48,"")</f>
        <v/>
      </c>
      <c r="B48" s="17" t="str">
        <f aca="false">IF(Transações!A48&lt;&gt;"",Transações!A48,"")</f>
        <v/>
      </c>
      <c r="C48" s="17" t="str">
        <f aca="false">IF(Transações!B48&lt;&gt;"",Transações!B48,"")</f>
        <v/>
      </c>
      <c r="D48" s="18" t="str">
        <f aca="false">IF(Transações!D48&lt;&gt;"",Transações!D48,"")</f>
        <v/>
      </c>
      <c r="E48" s="19" t="str">
        <f aca="false">IF(Transações!E48&lt;&gt;"",Transações!E48,"")</f>
        <v/>
      </c>
      <c r="F48" s="12" t="str">
        <f aca="false">IF(C48="Compra",D48*E48,IF(C48="Staking",D48*E48,""))</f>
        <v/>
      </c>
      <c r="G48" s="12" t="str">
        <f aca="false">IF(C48="Venda",IF(COUNTIF(A$3:A47,A48)&gt;0,(E48-SUMPRODUCT((A$3:A47=A48)*(C$3:C47="Compra")*F$3:F47)/IF(SUMPRODUCT((A$3:A47=A48)*(C$3:C47="Compra")*D$3:D47)=0,1,SUMPRODUCT((A$3:A47=A48)*(C$3:C47="Compra")*D$3:D47)))*D48,0),"")</f>
        <v/>
      </c>
      <c r="H48" s="12" t="str">
        <f aca="false">IF(C48="Venda",E48*D48,"")</f>
        <v/>
      </c>
    </row>
    <row r="49" customFormat="false" ht="15" hidden="false" customHeight="false" outlineLevel="0" collapsed="false">
      <c r="A49" s="14" t="str">
        <f aca="false">IF(Transações!C49&lt;&gt;"",Transações!C49,"")</f>
        <v/>
      </c>
      <c r="B49" s="14" t="str">
        <f aca="false">IF(Transações!A49&lt;&gt;"",Transações!A49,"")</f>
        <v/>
      </c>
      <c r="C49" s="14" t="str">
        <f aca="false">IF(Transações!B49&lt;&gt;"",Transações!B49,"")</f>
        <v/>
      </c>
      <c r="D49" s="15" t="str">
        <f aca="false">IF(Transações!D49&lt;&gt;"",Transações!D49,"")</f>
        <v/>
      </c>
      <c r="E49" s="16" t="str">
        <f aca="false">IF(Transações!E49&lt;&gt;"",Transações!E49,"")</f>
        <v/>
      </c>
      <c r="F49" s="7" t="str">
        <f aca="false">IF(C49="Compra",D49*E49,IF(C49="Staking",D49*E49,""))</f>
        <v/>
      </c>
      <c r="G49" s="7" t="str">
        <f aca="false">IF(C49="Venda",IF(COUNTIF(A$3:A48,A49)&gt;0,(E49-SUMPRODUCT((A$3:A48=A49)*(C$3:C48="Compra")*F$3:F48)/IF(SUMPRODUCT((A$3:A48=A49)*(C$3:C48="Compra")*D$3:D48)=0,1,SUMPRODUCT((A$3:A48=A49)*(C$3:C48="Compra")*D$3:D48)))*D49,0),"")</f>
        <v/>
      </c>
      <c r="H49" s="7" t="str">
        <f aca="false">IF(C49="Venda",E49*D49,"")</f>
        <v/>
      </c>
    </row>
    <row r="50" customFormat="false" ht="15" hidden="false" customHeight="false" outlineLevel="0" collapsed="false">
      <c r="A50" s="17" t="str">
        <f aca="false">IF(Transações!C50&lt;&gt;"",Transações!C50,"")</f>
        <v/>
      </c>
      <c r="B50" s="17" t="str">
        <f aca="false">IF(Transações!A50&lt;&gt;"",Transações!A50,"")</f>
        <v/>
      </c>
      <c r="C50" s="17" t="str">
        <f aca="false">IF(Transações!B50&lt;&gt;"",Transações!B50,"")</f>
        <v/>
      </c>
      <c r="D50" s="18" t="str">
        <f aca="false">IF(Transações!D50&lt;&gt;"",Transações!D50,"")</f>
        <v/>
      </c>
      <c r="E50" s="19" t="str">
        <f aca="false">IF(Transações!E50&lt;&gt;"",Transações!E50,"")</f>
        <v/>
      </c>
      <c r="F50" s="12" t="str">
        <f aca="false">IF(C50="Compra",D50*E50,IF(C50="Staking",D50*E50,""))</f>
        <v/>
      </c>
      <c r="G50" s="12" t="str">
        <f aca="false">IF(C50="Venda",IF(COUNTIF(A$3:A49,A50)&gt;0,(E50-SUMPRODUCT((A$3:A49=A50)*(C$3:C49="Compra")*F$3:F49)/IF(SUMPRODUCT((A$3:A49=A50)*(C$3:C49="Compra")*D$3:D49)=0,1,SUMPRODUCT((A$3:A49=A50)*(C$3:C49="Compra")*D$3:D49)))*D50,0),"")</f>
        <v/>
      </c>
      <c r="H50" s="12" t="str">
        <f aca="false">IF(C50="Venda",E50*D50,"")</f>
        <v/>
      </c>
    </row>
    <row r="51" customFormat="false" ht="15" hidden="false" customHeight="false" outlineLevel="0" collapsed="false">
      <c r="A51" s="14" t="str">
        <f aca="false">IF(Transações!C51&lt;&gt;"",Transações!C51,"")</f>
        <v/>
      </c>
      <c r="B51" s="14" t="str">
        <f aca="false">IF(Transações!A51&lt;&gt;"",Transações!A51,"")</f>
        <v/>
      </c>
      <c r="C51" s="14" t="str">
        <f aca="false">IF(Transações!B51&lt;&gt;"",Transações!B51,"")</f>
        <v/>
      </c>
      <c r="D51" s="15" t="str">
        <f aca="false">IF(Transações!D51&lt;&gt;"",Transações!D51,"")</f>
        <v/>
      </c>
      <c r="E51" s="16" t="str">
        <f aca="false">IF(Transações!E51&lt;&gt;"",Transações!E51,"")</f>
        <v/>
      </c>
      <c r="F51" s="7" t="str">
        <f aca="false">IF(C51="Compra",D51*E51,IF(C51="Staking",D51*E51,""))</f>
        <v/>
      </c>
      <c r="G51" s="7" t="str">
        <f aca="false">IF(C51="Venda",IF(COUNTIF(A$3:A50,A51)&gt;0,(E51-SUMPRODUCT((A$3:A50=A51)*(C$3:C50="Compra")*F$3:F50)/IF(SUMPRODUCT((A$3:A50=A51)*(C$3:C50="Compra")*D$3:D50)=0,1,SUMPRODUCT((A$3:A50=A51)*(C$3:C50="Compra")*D$3:D50)))*D51,0),"")</f>
        <v/>
      </c>
      <c r="H51" s="7" t="str">
        <f aca="false">IF(C51="Venda",E51*D51,"")</f>
        <v/>
      </c>
    </row>
    <row r="52" customFormat="false" ht="15" hidden="false" customHeight="false" outlineLevel="0" collapsed="false">
      <c r="A52" s="17" t="str">
        <f aca="false">IF(Transações!C52&lt;&gt;"",Transações!C52,"")</f>
        <v/>
      </c>
      <c r="B52" s="17" t="str">
        <f aca="false">IF(Transações!A52&lt;&gt;"",Transações!A52,"")</f>
        <v/>
      </c>
      <c r="C52" s="17" t="str">
        <f aca="false">IF(Transações!B52&lt;&gt;"",Transações!B52,"")</f>
        <v/>
      </c>
      <c r="D52" s="18" t="str">
        <f aca="false">IF(Transações!D52&lt;&gt;"",Transações!D52,"")</f>
        <v/>
      </c>
      <c r="E52" s="19" t="str">
        <f aca="false">IF(Transações!E52&lt;&gt;"",Transações!E52,"")</f>
        <v/>
      </c>
      <c r="F52" s="12" t="str">
        <f aca="false">IF(C52="Compra",D52*E52,IF(C52="Staking",D52*E52,""))</f>
        <v/>
      </c>
      <c r="G52" s="12" t="str">
        <f aca="false">IF(C52="Venda",IF(COUNTIF(A$3:A51,A52)&gt;0,(E52-SUMPRODUCT((A$3:A51=A52)*(C$3:C51="Compra")*F$3:F51)/IF(SUMPRODUCT((A$3:A51=A52)*(C$3:C51="Compra")*D$3:D51)=0,1,SUMPRODUCT((A$3:A51=A52)*(C$3:C51="Compra")*D$3:D51)))*D52,0),"")</f>
        <v/>
      </c>
      <c r="H52" s="12" t="str">
        <f aca="false">IF(C52="Venda",E52*D52,"")</f>
        <v/>
      </c>
    </row>
    <row r="53" customFormat="false" ht="15" hidden="false" customHeight="false" outlineLevel="0" collapsed="false">
      <c r="A53" s="14" t="str">
        <f aca="false">IF(Transações!C53&lt;&gt;"",Transações!C53,"")</f>
        <v/>
      </c>
      <c r="B53" s="14" t="str">
        <f aca="false">IF(Transações!A53&lt;&gt;"",Transações!A53,"")</f>
        <v/>
      </c>
      <c r="C53" s="14" t="str">
        <f aca="false">IF(Transações!B53&lt;&gt;"",Transações!B53,"")</f>
        <v/>
      </c>
      <c r="D53" s="15" t="str">
        <f aca="false">IF(Transações!D53&lt;&gt;"",Transações!D53,"")</f>
        <v/>
      </c>
      <c r="E53" s="16" t="str">
        <f aca="false">IF(Transações!E53&lt;&gt;"",Transações!E53,"")</f>
        <v/>
      </c>
      <c r="F53" s="7" t="str">
        <f aca="false">IF(C53="Compra",D53*E53,IF(C53="Staking",D53*E53,""))</f>
        <v/>
      </c>
      <c r="G53" s="7" t="str">
        <f aca="false">IF(C53="Venda",IF(COUNTIF(A$3:A52,A53)&gt;0,(E53-SUMPRODUCT((A$3:A52=A53)*(C$3:C52="Compra")*F$3:F52)/IF(SUMPRODUCT((A$3:A52=A53)*(C$3:C52="Compra")*D$3:D52)=0,1,SUMPRODUCT((A$3:A52=A53)*(C$3:C52="Compra")*D$3:D52)))*D53,0),"")</f>
        <v/>
      </c>
      <c r="H53" s="7" t="str">
        <f aca="false">IF(C53="Venda",E53*D53,"")</f>
        <v/>
      </c>
    </row>
    <row r="54" customFormat="false" ht="15" hidden="false" customHeight="false" outlineLevel="0" collapsed="false">
      <c r="A54" s="17" t="str">
        <f aca="false">IF(Transações!C54&lt;&gt;"",Transações!C54,"")</f>
        <v/>
      </c>
      <c r="B54" s="17" t="str">
        <f aca="false">IF(Transações!A54&lt;&gt;"",Transações!A54,"")</f>
        <v/>
      </c>
      <c r="C54" s="17" t="str">
        <f aca="false">IF(Transações!B54&lt;&gt;"",Transações!B54,"")</f>
        <v/>
      </c>
      <c r="D54" s="18" t="str">
        <f aca="false">IF(Transações!D54&lt;&gt;"",Transações!D54,"")</f>
        <v/>
      </c>
      <c r="E54" s="19" t="str">
        <f aca="false">IF(Transações!E54&lt;&gt;"",Transações!E54,"")</f>
        <v/>
      </c>
      <c r="F54" s="12" t="str">
        <f aca="false">IF(C54="Compra",D54*E54,IF(C54="Staking",D54*E54,""))</f>
        <v/>
      </c>
      <c r="G54" s="12" t="str">
        <f aca="false">IF(C54="Venda",IF(COUNTIF(A$3:A53,A54)&gt;0,(E54-SUMPRODUCT((A$3:A53=A54)*(C$3:C53="Compra")*F$3:F53)/IF(SUMPRODUCT((A$3:A53=A54)*(C$3:C53="Compra")*D$3:D53)=0,1,SUMPRODUCT((A$3:A53=A54)*(C$3:C53="Compra")*D$3:D53)))*D54,0),"")</f>
        <v/>
      </c>
      <c r="H54" s="12" t="str">
        <f aca="false">IF(C54="Venda",E54*D54,"")</f>
        <v/>
      </c>
    </row>
    <row r="55" customFormat="false" ht="15" hidden="false" customHeight="false" outlineLevel="0" collapsed="false">
      <c r="A55" s="14" t="str">
        <f aca="false">IF(Transações!C55&lt;&gt;"",Transações!C55,"")</f>
        <v/>
      </c>
      <c r="B55" s="14" t="str">
        <f aca="false">IF(Transações!A55&lt;&gt;"",Transações!A55,"")</f>
        <v/>
      </c>
      <c r="C55" s="14" t="str">
        <f aca="false">IF(Transações!B55&lt;&gt;"",Transações!B55,"")</f>
        <v/>
      </c>
      <c r="D55" s="15" t="str">
        <f aca="false">IF(Transações!D55&lt;&gt;"",Transações!D55,"")</f>
        <v/>
      </c>
      <c r="E55" s="16" t="str">
        <f aca="false">IF(Transações!E55&lt;&gt;"",Transações!E55,"")</f>
        <v/>
      </c>
      <c r="F55" s="7" t="str">
        <f aca="false">IF(C55="Compra",D55*E55,IF(C55="Staking",D55*E55,""))</f>
        <v/>
      </c>
      <c r="G55" s="7" t="str">
        <f aca="false">IF(C55="Venda",IF(COUNTIF(A$3:A54,A55)&gt;0,(E55-SUMPRODUCT((A$3:A54=A55)*(C$3:C54="Compra")*F$3:F54)/IF(SUMPRODUCT((A$3:A54=A55)*(C$3:C54="Compra")*D$3:D54)=0,1,SUMPRODUCT((A$3:A54=A55)*(C$3:C54="Compra")*D$3:D54)))*D55,0),"")</f>
        <v/>
      </c>
      <c r="H55" s="7" t="str">
        <f aca="false">IF(C55="Venda",E55*D55,"")</f>
        <v/>
      </c>
    </row>
    <row r="56" customFormat="false" ht="15" hidden="false" customHeight="false" outlineLevel="0" collapsed="false">
      <c r="A56" s="17" t="str">
        <f aca="false">IF(Transações!C56&lt;&gt;"",Transações!C56,"")</f>
        <v/>
      </c>
      <c r="B56" s="17" t="str">
        <f aca="false">IF(Transações!A56&lt;&gt;"",Transações!A56,"")</f>
        <v/>
      </c>
      <c r="C56" s="17" t="str">
        <f aca="false">IF(Transações!B56&lt;&gt;"",Transações!B56,"")</f>
        <v/>
      </c>
      <c r="D56" s="18" t="str">
        <f aca="false">IF(Transações!D56&lt;&gt;"",Transações!D56,"")</f>
        <v/>
      </c>
      <c r="E56" s="19" t="str">
        <f aca="false">IF(Transações!E56&lt;&gt;"",Transações!E56,"")</f>
        <v/>
      </c>
      <c r="F56" s="12" t="str">
        <f aca="false">IF(C56="Compra",D56*E56,IF(C56="Staking",D56*E56,""))</f>
        <v/>
      </c>
      <c r="G56" s="12" t="str">
        <f aca="false">IF(C56="Venda",IF(COUNTIF(A$3:A55,A56)&gt;0,(E56-SUMPRODUCT((A$3:A55=A56)*(C$3:C55="Compra")*F$3:F55)/IF(SUMPRODUCT((A$3:A55=A56)*(C$3:C55="Compra")*D$3:D55)=0,1,SUMPRODUCT((A$3:A55=A56)*(C$3:C55="Compra")*D$3:D55)))*D56,0),"")</f>
        <v/>
      </c>
      <c r="H56" s="12" t="str">
        <f aca="false">IF(C56="Venda",E56*D56,"")</f>
        <v/>
      </c>
    </row>
    <row r="57" customFormat="false" ht="15" hidden="false" customHeight="false" outlineLevel="0" collapsed="false">
      <c r="A57" s="14" t="str">
        <f aca="false">IF(Transações!C57&lt;&gt;"",Transações!C57,"")</f>
        <v/>
      </c>
      <c r="B57" s="14" t="str">
        <f aca="false">IF(Transações!A57&lt;&gt;"",Transações!A57,"")</f>
        <v/>
      </c>
      <c r="C57" s="14" t="str">
        <f aca="false">IF(Transações!B57&lt;&gt;"",Transações!B57,"")</f>
        <v/>
      </c>
      <c r="D57" s="15" t="str">
        <f aca="false">IF(Transações!D57&lt;&gt;"",Transações!D57,"")</f>
        <v/>
      </c>
      <c r="E57" s="16" t="str">
        <f aca="false">IF(Transações!E57&lt;&gt;"",Transações!E57,"")</f>
        <v/>
      </c>
      <c r="F57" s="7" t="str">
        <f aca="false">IF(C57="Compra",D57*E57,IF(C57="Staking",D57*E57,""))</f>
        <v/>
      </c>
      <c r="G57" s="7" t="str">
        <f aca="false">IF(C57="Venda",IF(COUNTIF(A$3:A56,A57)&gt;0,(E57-SUMPRODUCT((A$3:A56=A57)*(C$3:C56="Compra")*F$3:F56)/IF(SUMPRODUCT((A$3:A56=A57)*(C$3:C56="Compra")*D$3:D56)=0,1,SUMPRODUCT((A$3:A56=A57)*(C$3:C56="Compra")*D$3:D56)))*D57,0),"")</f>
        <v/>
      </c>
      <c r="H57" s="7" t="str">
        <f aca="false">IF(C57="Venda",E57*D57,"")</f>
        <v/>
      </c>
    </row>
    <row r="58" customFormat="false" ht="15" hidden="false" customHeight="false" outlineLevel="0" collapsed="false">
      <c r="A58" s="17" t="str">
        <f aca="false">IF(Transações!C58&lt;&gt;"",Transações!C58,"")</f>
        <v/>
      </c>
      <c r="B58" s="17" t="str">
        <f aca="false">IF(Transações!A58&lt;&gt;"",Transações!A58,"")</f>
        <v/>
      </c>
      <c r="C58" s="17" t="str">
        <f aca="false">IF(Transações!B58&lt;&gt;"",Transações!B58,"")</f>
        <v/>
      </c>
      <c r="D58" s="18" t="str">
        <f aca="false">IF(Transações!D58&lt;&gt;"",Transações!D58,"")</f>
        <v/>
      </c>
      <c r="E58" s="19" t="str">
        <f aca="false">IF(Transações!E58&lt;&gt;"",Transações!E58,"")</f>
        <v/>
      </c>
      <c r="F58" s="12" t="str">
        <f aca="false">IF(C58="Compra",D58*E58,IF(C58="Staking",D58*E58,""))</f>
        <v/>
      </c>
      <c r="G58" s="12" t="str">
        <f aca="false">IF(C58="Venda",IF(COUNTIF(A$3:A57,A58)&gt;0,(E58-SUMPRODUCT((A$3:A57=A58)*(C$3:C57="Compra")*F$3:F57)/IF(SUMPRODUCT((A$3:A57=A58)*(C$3:C57="Compra")*D$3:D57)=0,1,SUMPRODUCT((A$3:A57=A58)*(C$3:C57="Compra")*D$3:D57)))*D58,0),"")</f>
        <v/>
      </c>
      <c r="H58" s="12" t="str">
        <f aca="false">IF(C58="Venda",E58*D58,"")</f>
        <v/>
      </c>
    </row>
    <row r="59" customFormat="false" ht="15" hidden="false" customHeight="false" outlineLevel="0" collapsed="false">
      <c r="A59" s="14" t="str">
        <f aca="false">IF(Transações!C59&lt;&gt;"",Transações!C59,"")</f>
        <v/>
      </c>
      <c r="B59" s="14" t="str">
        <f aca="false">IF(Transações!A59&lt;&gt;"",Transações!A59,"")</f>
        <v/>
      </c>
      <c r="C59" s="14" t="str">
        <f aca="false">IF(Transações!B59&lt;&gt;"",Transações!B59,"")</f>
        <v/>
      </c>
      <c r="D59" s="15" t="str">
        <f aca="false">IF(Transações!D59&lt;&gt;"",Transações!D59,"")</f>
        <v/>
      </c>
      <c r="E59" s="16" t="str">
        <f aca="false">IF(Transações!E59&lt;&gt;"",Transações!E59,"")</f>
        <v/>
      </c>
      <c r="F59" s="7" t="str">
        <f aca="false">IF(C59="Compra",D59*E59,IF(C59="Staking",D59*E59,""))</f>
        <v/>
      </c>
      <c r="G59" s="7" t="str">
        <f aca="false">IF(C59="Venda",IF(COUNTIF(A$3:A58,A59)&gt;0,(E59-SUMPRODUCT((A$3:A58=A59)*(C$3:C58="Compra")*F$3:F58)/IF(SUMPRODUCT((A$3:A58=A59)*(C$3:C58="Compra")*D$3:D58)=0,1,SUMPRODUCT((A$3:A58=A59)*(C$3:C58="Compra")*D$3:D58)))*D59,0),"")</f>
        <v/>
      </c>
      <c r="H59" s="7" t="str">
        <f aca="false">IF(C59="Venda",E59*D59,"")</f>
        <v/>
      </c>
    </row>
    <row r="60" customFormat="false" ht="15" hidden="false" customHeight="false" outlineLevel="0" collapsed="false">
      <c r="A60" s="17" t="str">
        <f aca="false">IF(Transações!C60&lt;&gt;"",Transações!C60,"")</f>
        <v/>
      </c>
      <c r="B60" s="17" t="str">
        <f aca="false">IF(Transações!A60&lt;&gt;"",Transações!A60,"")</f>
        <v/>
      </c>
      <c r="C60" s="17" t="str">
        <f aca="false">IF(Transações!B60&lt;&gt;"",Transações!B60,"")</f>
        <v/>
      </c>
      <c r="D60" s="18" t="str">
        <f aca="false">IF(Transações!D60&lt;&gt;"",Transações!D60,"")</f>
        <v/>
      </c>
      <c r="E60" s="19" t="str">
        <f aca="false">IF(Transações!E60&lt;&gt;"",Transações!E60,"")</f>
        <v/>
      </c>
      <c r="F60" s="12" t="str">
        <f aca="false">IF(C60="Compra",D60*E60,IF(C60="Staking",D60*E60,""))</f>
        <v/>
      </c>
      <c r="G60" s="12" t="str">
        <f aca="false">IF(C60="Venda",IF(COUNTIF(A$3:A59,A60)&gt;0,(E60-SUMPRODUCT((A$3:A59=A60)*(C$3:C59="Compra")*F$3:F59)/IF(SUMPRODUCT((A$3:A59=A60)*(C$3:C59="Compra")*D$3:D59)=0,1,SUMPRODUCT((A$3:A59=A60)*(C$3:C59="Compra")*D$3:D59)))*D60,0),"")</f>
        <v/>
      </c>
      <c r="H60" s="12" t="str">
        <f aca="false">IF(C60="Venda",E60*D60,"")</f>
        <v/>
      </c>
    </row>
    <row r="61" customFormat="false" ht="15" hidden="false" customHeight="false" outlineLevel="0" collapsed="false">
      <c r="A61" s="14" t="str">
        <f aca="false">IF(Transações!C61&lt;&gt;"",Transações!C61,"")</f>
        <v/>
      </c>
      <c r="B61" s="14" t="str">
        <f aca="false">IF(Transações!A61&lt;&gt;"",Transações!A61,"")</f>
        <v/>
      </c>
      <c r="C61" s="14" t="str">
        <f aca="false">IF(Transações!B61&lt;&gt;"",Transações!B61,"")</f>
        <v/>
      </c>
      <c r="D61" s="15" t="str">
        <f aca="false">IF(Transações!D61&lt;&gt;"",Transações!D61,"")</f>
        <v/>
      </c>
      <c r="E61" s="16" t="str">
        <f aca="false">IF(Transações!E61&lt;&gt;"",Transações!E61,"")</f>
        <v/>
      </c>
      <c r="F61" s="7" t="str">
        <f aca="false">IF(C61="Compra",D61*E61,IF(C61="Staking",D61*E61,""))</f>
        <v/>
      </c>
      <c r="G61" s="7" t="str">
        <f aca="false">IF(C61="Venda",IF(COUNTIF(A$3:A60,A61)&gt;0,(E61-SUMPRODUCT((A$3:A60=A61)*(C$3:C60="Compra")*F$3:F60)/IF(SUMPRODUCT((A$3:A60=A61)*(C$3:C60="Compra")*D$3:D60)=0,1,SUMPRODUCT((A$3:A60=A61)*(C$3:C60="Compra")*D$3:D60)))*D61,0),"")</f>
        <v/>
      </c>
      <c r="H61" s="7" t="str">
        <f aca="false">IF(C61="Venda",E61*D61,"")</f>
        <v/>
      </c>
    </row>
    <row r="62" customFormat="false" ht="15" hidden="false" customHeight="false" outlineLevel="0" collapsed="false">
      <c r="A62" s="17" t="str">
        <f aca="false">IF(Transações!C62&lt;&gt;"",Transações!C62,"")</f>
        <v/>
      </c>
      <c r="B62" s="17" t="str">
        <f aca="false">IF(Transações!A62&lt;&gt;"",Transações!A62,"")</f>
        <v/>
      </c>
      <c r="C62" s="17" t="str">
        <f aca="false">IF(Transações!B62&lt;&gt;"",Transações!B62,"")</f>
        <v/>
      </c>
      <c r="D62" s="18" t="str">
        <f aca="false">IF(Transações!D62&lt;&gt;"",Transações!D62,"")</f>
        <v/>
      </c>
      <c r="E62" s="19" t="str">
        <f aca="false">IF(Transações!E62&lt;&gt;"",Transações!E62,"")</f>
        <v/>
      </c>
      <c r="F62" s="12" t="str">
        <f aca="false">IF(C62="Compra",D62*E62,IF(C62="Staking",D62*E62,""))</f>
        <v/>
      </c>
      <c r="G62" s="12" t="str">
        <f aca="false">IF(C62="Venda",IF(COUNTIF(A$3:A61,A62)&gt;0,(E62-SUMPRODUCT((A$3:A61=A62)*(C$3:C61="Compra")*F$3:F61)/IF(SUMPRODUCT((A$3:A61=A62)*(C$3:C61="Compra")*D$3:D61)=0,1,SUMPRODUCT((A$3:A61=A62)*(C$3:C61="Compra")*D$3:D61)))*D62,0),"")</f>
        <v/>
      </c>
      <c r="H62" s="12" t="str">
        <f aca="false">IF(C62="Venda",E62*D62,"")</f>
        <v/>
      </c>
    </row>
    <row r="63" customFormat="false" ht="15" hidden="false" customHeight="false" outlineLevel="0" collapsed="false">
      <c r="A63" s="14" t="str">
        <f aca="false">IF(Transações!C63&lt;&gt;"",Transações!C63,"")</f>
        <v/>
      </c>
      <c r="B63" s="14" t="str">
        <f aca="false">IF(Transações!A63&lt;&gt;"",Transações!A63,"")</f>
        <v/>
      </c>
      <c r="C63" s="14" t="str">
        <f aca="false">IF(Transações!B63&lt;&gt;"",Transações!B63,"")</f>
        <v/>
      </c>
      <c r="D63" s="15" t="str">
        <f aca="false">IF(Transações!D63&lt;&gt;"",Transações!D63,"")</f>
        <v/>
      </c>
      <c r="E63" s="16" t="str">
        <f aca="false">IF(Transações!E63&lt;&gt;"",Transações!E63,"")</f>
        <v/>
      </c>
      <c r="F63" s="7" t="str">
        <f aca="false">IF(C63="Compra",D63*E63,IF(C63="Staking",D63*E63,""))</f>
        <v/>
      </c>
      <c r="G63" s="7" t="str">
        <f aca="false">IF(C63="Venda",IF(COUNTIF(A$3:A62,A63)&gt;0,(E63-SUMPRODUCT((A$3:A62=A63)*(C$3:C62="Compra")*F$3:F62)/IF(SUMPRODUCT((A$3:A62=A63)*(C$3:C62="Compra")*D$3:D62)=0,1,SUMPRODUCT((A$3:A62=A63)*(C$3:C62="Compra")*D$3:D62)))*D63,0),"")</f>
        <v/>
      </c>
      <c r="H63" s="7" t="str">
        <f aca="false">IF(C63="Venda",E63*D63,"")</f>
        <v/>
      </c>
    </row>
    <row r="64" customFormat="false" ht="15" hidden="false" customHeight="false" outlineLevel="0" collapsed="false">
      <c r="A64" s="17" t="str">
        <f aca="false">IF(Transações!C64&lt;&gt;"",Transações!C64,"")</f>
        <v/>
      </c>
      <c r="B64" s="17" t="str">
        <f aca="false">IF(Transações!A64&lt;&gt;"",Transações!A64,"")</f>
        <v/>
      </c>
      <c r="C64" s="17" t="str">
        <f aca="false">IF(Transações!B64&lt;&gt;"",Transações!B64,"")</f>
        <v/>
      </c>
      <c r="D64" s="18" t="str">
        <f aca="false">IF(Transações!D64&lt;&gt;"",Transações!D64,"")</f>
        <v/>
      </c>
      <c r="E64" s="19" t="str">
        <f aca="false">IF(Transações!E64&lt;&gt;"",Transações!E64,"")</f>
        <v/>
      </c>
      <c r="F64" s="12" t="str">
        <f aca="false">IF(C64="Compra",D64*E64,IF(C64="Staking",D64*E64,""))</f>
        <v/>
      </c>
      <c r="G64" s="12" t="str">
        <f aca="false">IF(C64="Venda",IF(COUNTIF(A$3:A63,A64)&gt;0,(E64-SUMPRODUCT((A$3:A63=A64)*(C$3:C63="Compra")*F$3:F63)/IF(SUMPRODUCT((A$3:A63=A64)*(C$3:C63="Compra")*D$3:D63)=0,1,SUMPRODUCT((A$3:A63=A64)*(C$3:C63="Compra")*D$3:D63)))*D64,0),"")</f>
        <v/>
      </c>
      <c r="H64" s="12" t="str">
        <f aca="false">IF(C64="Venda",E64*D64,"")</f>
        <v/>
      </c>
    </row>
    <row r="65" customFormat="false" ht="15" hidden="false" customHeight="false" outlineLevel="0" collapsed="false">
      <c r="A65" s="14" t="str">
        <f aca="false">IF(Transações!C65&lt;&gt;"",Transações!C65,"")</f>
        <v/>
      </c>
      <c r="B65" s="14" t="str">
        <f aca="false">IF(Transações!A65&lt;&gt;"",Transações!A65,"")</f>
        <v/>
      </c>
      <c r="C65" s="14" t="str">
        <f aca="false">IF(Transações!B65&lt;&gt;"",Transações!B65,"")</f>
        <v/>
      </c>
      <c r="D65" s="15" t="str">
        <f aca="false">IF(Transações!D65&lt;&gt;"",Transações!D65,"")</f>
        <v/>
      </c>
      <c r="E65" s="16" t="str">
        <f aca="false">IF(Transações!E65&lt;&gt;"",Transações!E65,"")</f>
        <v/>
      </c>
      <c r="F65" s="7" t="str">
        <f aca="false">IF(C65="Compra",D65*E65,IF(C65="Staking",D65*E65,""))</f>
        <v/>
      </c>
      <c r="G65" s="7" t="str">
        <f aca="false">IF(C65="Venda",IF(COUNTIF(A$3:A64,A65)&gt;0,(E65-SUMPRODUCT((A$3:A64=A65)*(C$3:C64="Compra")*F$3:F64)/IF(SUMPRODUCT((A$3:A64=A65)*(C$3:C64="Compra")*D$3:D64)=0,1,SUMPRODUCT((A$3:A64=A65)*(C$3:C64="Compra")*D$3:D64)))*D65,0),"")</f>
        <v/>
      </c>
      <c r="H65" s="7" t="str">
        <f aca="false">IF(C65="Venda",E65*D65,"")</f>
        <v/>
      </c>
    </row>
    <row r="66" customFormat="false" ht="15" hidden="false" customHeight="false" outlineLevel="0" collapsed="false">
      <c r="A66" s="17" t="str">
        <f aca="false">IF(Transações!C66&lt;&gt;"",Transações!C66,"")</f>
        <v/>
      </c>
      <c r="B66" s="17" t="str">
        <f aca="false">IF(Transações!A66&lt;&gt;"",Transações!A66,"")</f>
        <v/>
      </c>
      <c r="C66" s="17" t="str">
        <f aca="false">IF(Transações!B66&lt;&gt;"",Transações!B66,"")</f>
        <v/>
      </c>
      <c r="D66" s="18" t="str">
        <f aca="false">IF(Transações!D66&lt;&gt;"",Transações!D66,"")</f>
        <v/>
      </c>
      <c r="E66" s="19" t="str">
        <f aca="false">IF(Transações!E66&lt;&gt;"",Transações!E66,"")</f>
        <v/>
      </c>
      <c r="F66" s="12" t="str">
        <f aca="false">IF(C66="Compra",D66*E66,IF(C66="Staking",D66*E66,""))</f>
        <v/>
      </c>
      <c r="G66" s="12" t="str">
        <f aca="false">IF(C66="Venda",IF(COUNTIF(A$3:A65,A66)&gt;0,(E66-SUMPRODUCT((A$3:A65=A66)*(C$3:C65="Compra")*F$3:F65)/IF(SUMPRODUCT((A$3:A65=A66)*(C$3:C65="Compra")*D$3:D65)=0,1,SUMPRODUCT((A$3:A65=A66)*(C$3:C65="Compra")*D$3:D65)))*D66,0),"")</f>
        <v/>
      </c>
      <c r="H66" s="12" t="str">
        <f aca="false">IF(C66="Venda",E66*D66,"")</f>
        <v/>
      </c>
    </row>
    <row r="67" customFormat="false" ht="15" hidden="false" customHeight="false" outlineLevel="0" collapsed="false">
      <c r="A67" s="14" t="str">
        <f aca="false">IF(Transações!C67&lt;&gt;"",Transações!C67,"")</f>
        <v/>
      </c>
      <c r="B67" s="14" t="str">
        <f aca="false">IF(Transações!A67&lt;&gt;"",Transações!A67,"")</f>
        <v/>
      </c>
      <c r="C67" s="14" t="str">
        <f aca="false">IF(Transações!B67&lt;&gt;"",Transações!B67,"")</f>
        <v/>
      </c>
      <c r="D67" s="15" t="str">
        <f aca="false">IF(Transações!D67&lt;&gt;"",Transações!D67,"")</f>
        <v/>
      </c>
      <c r="E67" s="16" t="str">
        <f aca="false">IF(Transações!E67&lt;&gt;"",Transações!E67,"")</f>
        <v/>
      </c>
      <c r="F67" s="7" t="str">
        <f aca="false">IF(C67="Compra",D67*E67,IF(C67="Staking",D67*E67,""))</f>
        <v/>
      </c>
      <c r="G67" s="7" t="str">
        <f aca="false">IF(C67="Venda",IF(COUNTIF(A$3:A66,A67)&gt;0,(E67-SUMPRODUCT((A$3:A66=A67)*(C$3:C66="Compra")*F$3:F66)/IF(SUMPRODUCT((A$3:A66=A67)*(C$3:C66="Compra")*D$3:D66)=0,1,SUMPRODUCT((A$3:A66=A67)*(C$3:C66="Compra")*D$3:D66)))*D67,0),"")</f>
        <v/>
      </c>
      <c r="H67" s="7" t="str">
        <f aca="false">IF(C67="Venda",E67*D67,"")</f>
        <v/>
      </c>
    </row>
    <row r="68" customFormat="false" ht="15" hidden="false" customHeight="false" outlineLevel="0" collapsed="false">
      <c r="A68" s="17" t="str">
        <f aca="false">IF(Transações!C68&lt;&gt;"",Transações!C68,"")</f>
        <v/>
      </c>
      <c r="B68" s="17" t="str">
        <f aca="false">IF(Transações!A68&lt;&gt;"",Transações!A68,"")</f>
        <v/>
      </c>
      <c r="C68" s="17" t="str">
        <f aca="false">IF(Transações!B68&lt;&gt;"",Transações!B68,"")</f>
        <v/>
      </c>
      <c r="D68" s="18" t="str">
        <f aca="false">IF(Transações!D68&lt;&gt;"",Transações!D68,"")</f>
        <v/>
      </c>
      <c r="E68" s="19" t="str">
        <f aca="false">IF(Transações!E68&lt;&gt;"",Transações!E68,"")</f>
        <v/>
      </c>
      <c r="F68" s="12" t="str">
        <f aca="false">IF(C68="Compra",D68*E68,IF(C68="Staking",D68*E68,""))</f>
        <v/>
      </c>
      <c r="G68" s="12" t="str">
        <f aca="false">IF(C68="Venda",IF(COUNTIF(A$3:A67,A68)&gt;0,(E68-SUMPRODUCT((A$3:A67=A68)*(C$3:C67="Compra")*F$3:F67)/IF(SUMPRODUCT((A$3:A67=A68)*(C$3:C67="Compra")*D$3:D67)=0,1,SUMPRODUCT((A$3:A67=A68)*(C$3:C67="Compra")*D$3:D67)))*D68,0),"")</f>
        <v/>
      </c>
      <c r="H68" s="12" t="str">
        <f aca="false">IF(C68="Venda",E68*D68,"")</f>
        <v/>
      </c>
    </row>
    <row r="69" customFormat="false" ht="15" hidden="false" customHeight="false" outlineLevel="0" collapsed="false">
      <c r="A69" s="14" t="str">
        <f aca="false">IF(Transações!C69&lt;&gt;"",Transações!C69,"")</f>
        <v/>
      </c>
      <c r="B69" s="14" t="str">
        <f aca="false">IF(Transações!A69&lt;&gt;"",Transações!A69,"")</f>
        <v/>
      </c>
      <c r="C69" s="14" t="str">
        <f aca="false">IF(Transações!B69&lt;&gt;"",Transações!B69,"")</f>
        <v/>
      </c>
      <c r="D69" s="15" t="str">
        <f aca="false">IF(Transações!D69&lt;&gt;"",Transações!D69,"")</f>
        <v/>
      </c>
      <c r="E69" s="16" t="str">
        <f aca="false">IF(Transações!E69&lt;&gt;"",Transações!E69,"")</f>
        <v/>
      </c>
      <c r="F69" s="7" t="str">
        <f aca="false">IF(C69="Compra",D69*E69,IF(C69="Staking",D69*E69,""))</f>
        <v/>
      </c>
      <c r="G69" s="7" t="str">
        <f aca="false">IF(C69="Venda",IF(COUNTIF(A$3:A68,A69)&gt;0,(E69-SUMPRODUCT((A$3:A68=A69)*(C$3:C68="Compra")*F$3:F68)/IF(SUMPRODUCT((A$3:A68=A69)*(C$3:C68="Compra")*D$3:D68)=0,1,SUMPRODUCT((A$3:A68=A69)*(C$3:C68="Compra")*D$3:D68)))*D69,0),"")</f>
        <v/>
      </c>
      <c r="H69" s="7" t="str">
        <f aca="false">IF(C69="Venda",E69*D69,"")</f>
        <v/>
      </c>
    </row>
    <row r="70" customFormat="false" ht="15" hidden="false" customHeight="false" outlineLevel="0" collapsed="false">
      <c r="A70" s="17" t="str">
        <f aca="false">IF(Transações!C70&lt;&gt;"",Transações!C70,"")</f>
        <v/>
      </c>
      <c r="B70" s="17" t="str">
        <f aca="false">IF(Transações!A70&lt;&gt;"",Transações!A70,"")</f>
        <v/>
      </c>
      <c r="C70" s="17" t="str">
        <f aca="false">IF(Transações!B70&lt;&gt;"",Transações!B70,"")</f>
        <v/>
      </c>
      <c r="D70" s="18" t="str">
        <f aca="false">IF(Transações!D70&lt;&gt;"",Transações!D70,"")</f>
        <v/>
      </c>
      <c r="E70" s="19" t="str">
        <f aca="false">IF(Transações!E70&lt;&gt;"",Transações!E70,"")</f>
        <v/>
      </c>
      <c r="F70" s="12" t="str">
        <f aca="false">IF(C70="Compra",D70*E70,IF(C70="Staking",D70*E70,""))</f>
        <v/>
      </c>
      <c r="G70" s="12" t="str">
        <f aca="false">IF(C70="Venda",IF(COUNTIF(A$3:A69,A70)&gt;0,(E70-SUMPRODUCT((A$3:A69=A70)*(C$3:C69="Compra")*F$3:F69)/IF(SUMPRODUCT((A$3:A69=A70)*(C$3:C69="Compra")*D$3:D69)=0,1,SUMPRODUCT((A$3:A69=A70)*(C$3:C69="Compra")*D$3:D69)))*D70,0),"")</f>
        <v/>
      </c>
      <c r="H70" s="12" t="str">
        <f aca="false">IF(C70="Venda",E70*D70,"")</f>
        <v/>
      </c>
    </row>
    <row r="71" customFormat="false" ht="15" hidden="false" customHeight="false" outlineLevel="0" collapsed="false">
      <c r="A71" s="14" t="str">
        <f aca="false">IF(Transações!C71&lt;&gt;"",Transações!C71,"")</f>
        <v/>
      </c>
      <c r="B71" s="14" t="str">
        <f aca="false">IF(Transações!A71&lt;&gt;"",Transações!A71,"")</f>
        <v/>
      </c>
      <c r="C71" s="14" t="str">
        <f aca="false">IF(Transações!B71&lt;&gt;"",Transações!B71,"")</f>
        <v/>
      </c>
      <c r="D71" s="15" t="str">
        <f aca="false">IF(Transações!D71&lt;&gt;"",Transações!D71,"")</f>
        <v/>
      </c>
      <c r="E71" s="16" t="str">
        <f aca="false">IF(Transações!E71&lt;&gt;"",Transações!E71,"")</f>
        <v/>
      </c>
      <c r="F71" s="7" t="str">
        <f aca="false">IF(C71="Compra",D71*E71,IF(C71="Staking",D71*E71,""))</f>
        <v/>
      </c>
      <c r="G71" s="7" t="str">
        <f aca="false">IF(C71="Venda",IF(COUNTIF(A$3:A70,A71)&gt;0,(E71-SUMPRODUCT((A$3:A70=A71)*(C$3:C70="Compra")*F$3:F70)/IF(SUMPRODUCT((A$3:A70=A71)*(C$3:C70="Compra")*D$3:D70)=0,1,SUMPRODUCT((A$3:A70=A71)*(C$3:C70="Compra")*D$3:D70)))*D71,0),"")</f>
        <v/>
      </c>
      <c r="H71" s="7" t="str">
        <f aca="false">IF(C71="Venda",E71*D71,"")</f>
        <v/>
      </c>
    </row>
    <row r="72" customFormat="false" ht="15" hidden="false" customHeight="false" outlineLevel="0" collapsed="false">
      <c r="A72" s="17" t="str">
        <f aca="false">IF(Transações!C72&lt;&gt;"",Transações!C72,"")</f>
        <v/>
      </c>
      <c r="B72" s="17" t="str">
        <f aca="false">IF(Transações!A72&lt;&gt;"",Transações!A72,"")</f>
        <v/>
      </c>
      <c r="C72" s="17" t="str">
        <f aca="false">IF(Transações!B72&lt;&gt;"",Transações!B72,"")</f>
        <v/>
      </c>
      <c r="D72" s="18" t="str">
        <f aca="false">IF(Transações!D72&lt;&gt;"",Transações!D72,"")</f>
        <v/>
      </c>
      <c r="E72" s="19" t="str">
        <f aca="false">IF(Transações!E72&lt;&gt;"",Transações!E72,"")</f>
        <v/>
      </c>
      <c r="F72" s="12" t="str">
        <f aca="false">IF(C72="Compra",D72*E72,IF(C72="Staking",D72*E72,""))</f>
        <v/>
      </c>
      <c r="G72" s="12" t="str">
        <f aca="false">IF(C72="Venda",IF(COUNTIF(A$3:A71,A72)&gt;0,(E72-SUMPRODUCT((A$3:A71=A72)*(C$3:C71="Compra")*F$3:F71)/IF(SUMPRODUCT((A$3:A71=A72)*(C$3:C71="Compra")*D$3:D71)=0,1,SUMPRODUCT((A$3:A71=A72)*(C$3:C71="Compra")*D$3:D71)))*D72,0),"")</f>
        <v/>
      </c>
      <c r="H72" s="12" t="str">
        <f aca="false">IF(C72="Venda",E72*D72,"")</f>
        <v/>
      </c>
    </row>
    <row r="73" customFormat="false" ht="15" hidden="false" customHeight="false" outlineLevel="0" collapsed="false">
      <c r="A73" s="14" t="str">
        <f aca="false">IF(Transações!C73&lt;&gt;"",Transações!C73,"")</f>
        <v/>
      </c>
      <c r="B73" s="14" t="str">
        <f aca="false">IF(Transações!A73&lt;&gt;"",Transações!A73,"")</f>
        <v/>
      </c>
      <c r="C73" s="14" t="str">
        <f aca="false">IF(Transações!B73&lt;&gt;"",Transações!B73,"")</f>
        <v/>
      </c>
      <c r="D73" s="15" t="str">
        <f aca="false">IF(Transações!D73&lt;&gt;"",Transações!D73,"")</f>
        <v/>
      </c>
      <c r="E73" s="16" t="str">
        <f aca="false">IF(Transações!E73&lt;&gt;"",Transações!E73,"")</f>
        <v/>
      </c>
      <c r="F73" s="7" t="str">
        <f aca="false">IF(C73="Compra",D73*E73,IF(C73="Staking",D73*E73,""))</f>
        <v/>
      </c>
      <c r="G73" s="7" t="str">
        <f aca="false">IF(C73="Venda",IF(COUNTIF(A$3:A72,A73)&gt;0,(E73-SUMPRODUCT((A$3:A72=A73)*(C$3:C72="Compra")*F$3:F72)/IF(SUMPRODUCT((A$3:A72=A73)*(C$3:C72="Compra")*D$3:D72)=0,1,SUMPRODUCT((A$3:A72=A73)*(C$3:C72="Compra")*D$3:D72)))*D73,0),"")</f>
        <v/>
      </c>
      <c r="H73" s="7" t="str">
        <f aca="false">IF(C73="Venda",E73*D73,"")</f>
        <v/>
      </c>
    </row>
    <row r="74" customFormat="false" ht="15" hidden="false" customHeight="false" outlineLevel="0" collapsed="false">
      <c r="A74" s="17" t="str">
        <f aca="false">IF(Transações!C74&lt;&gt;"",Transações!C74,"")</f>
        <v/>
      </c>
      <c r="B74" s="17" t="str">
        <f aca="false">IF(Transações!A74&lt;&gt;"",Transações!A74,"")</f>
        <v/>
      </c>
      <c r="C74" s="17" t="str">
        <f aca="false">IF(Transações!B74&lt;&gt;"",Transações!B74,"")</f>
        <v/>
      </c>
      <c r="D74" s="18" t="str">
        <f aca="false">IF(Transações!D74&lt;&gt;"",Transações!D74,"")</f>
        <v/>
      </c>
      <c r="E74" s="19" t="str">
        <f aca="false">IF(Transações!E74&lt;&gt;"",Transações!E74,"")</f>
        <v/>
      </c>
      <c r="F74" s="12" t="str">
        <f aca="false">IF(C74="Compra",D74*E74,IF(C74="Staking",D74*E74,""))</f>
        <v/>
      </c>
      <c r="G74" s="12" t="str">
        <f aca="false">IF(C74="Venda",IF(COUNTIF(A$3:A73,A74)&gt;0,(E74-SUMPRODUCT((A$3:A73=A74)*(C$3:C73="Compra")*F$3:F73)/IF(SUMPRODUCT((A$3:A73=A74)*(C$3:C73="Compra")*D$3:D73)=0,1,SUMPRODUCT((A$3:A73=A74)*(C$3:C73="Compra")*D$3:D73)))*D74,0),"")</f>
        <v/>
      </c>
      <c r="H74" s="12" t="str">
        <f aca="false">IF(C74="Venda",E74*D74,"")</f>
        <v/>
      </c>
    </row>
    <row r="75" customFormat="false" ht="15" hidden="false" customHeight="false" outlineLevel="0" collapsed="false">
      <c r="A75" s="14" t="str">
        <f aca="false">IF(Transações!C75&lt;&gt;"",Transações!C75,"")</f>
        <v/>
      </c>
      <c r="B75" s="14" t="str">
        <f aca="false">IF(Transações!A75&lt;&gt;"",Transações!A75,"")</f>
        <v/>
      </c>
      <c r="C75" s="14" t="str">
        <f aca="false">IF(Transações!B75&lt;&gt;"",Transações!B75,"")</f>
        <v/>
      </c>
      <c r="D75" s="15" t="str">
        <f aca="false">IF(Transações!D75&lt;&gt;"",Transações!D75,"")</f>
        <v/>
      </c>
      <c r="E75" s="16" t="str">
        <f aca="false">IF(Transações!E75&lt;&gt;"",Transações!E75,"")</f>
        <v/>
      </c>
      <c r="F75" s="7" t="str">
        <f aca="false">IF(C75="Compra",D75*E75,IF(C75="Staking",D75*E75,""))</f>
        <v/>
      </c>
      <c r="G75" s="7" t="str">
        <f aca="false">IF(C75="Venda",IF(COUNTIF(A$3:A74,A75)&gt;0,(E75-SUMPRODUCT((A$3:A74=A75)*(C$3:C74="Compra")*F$3:F74)/IF(SUMPRODUCT((A$3:A74=A75)*(C$3:C74="Compra")*D$3:D74)=0,1,SUMPRODUCT((A$3:A74=A75)*(C$3:C74="Compra")*D$3:D74)))*D75,0),"")</f>
        <v/>
      </c>
      <c r="H75" s="7" t="str">
        <f aca="false">IF(C75="Venda",E75*D75,"")</f>
        <v/>
      </c>
    </row>
    <row r="76" customFormat="false" ht="15" hidden="false" customHeight="false" outlineLevel="0" collapsed="false">
      <c r="A76" s="17" t="str">
        <f aca="false">IF(Transações!C76&lt;&gt;"",Transações!C76,"")</f>
        <v/>
      </c>
      <c r="B76" s="17" t="str">
        <f aca="false">IF(Transações!A76&lt;&gt;"",Transações!A76,"")</f>
        <v/>
      </c>
      <c r="C76" s="17" t="str">
        <f aca="false">IF(Transações!B76&lt;&gt;"",Transações!B76,"")</f>
        <v/>
      </c>
      <c r="D76" s="18" t="str">
        <f aca="false">IF(Transações!D76&lt;&gt;"",Transações!D76,"")</f>
        <v/>
      </c>
      <c r="E76" s="19" t="str">
        <f aca="false">IF(Transações!E76&lt;&gt;"",Transações!E76,"")</f>
        <v/>
      </c>
      <c r="F76" s="12" t="str">
        <f aca="false">IF(C76="Compra",D76*E76,IF(C76="Staking",D76*E76,""))</f>
        <v/>
      </c>
      <c r="G76" s="12" t="str">
        <f aca="false">IF(C76="Venda",IF(COUNTIF(A$3:A75,A76)&gt;0,(E76-SUMPRODUCT((A$3:A75=A76)*(C$3:C75="Compra")*F$3:F75)/IF(SUMPRODUCT((A$3:A75=A76)*(C$3:C75="Compra")*D$3:D75)=0,1,SUMPRODUCT((A$3:A75=A76)*(C$3:C75="Compra")*D$3:D75)))*D76,0),"")</f>
        <v/>
      </c>
      <c r="H76" s="12" t="str">
        <f aca="false">IF(C76="Venda",E76*D76,"")</f>
        <v/>
      </c>
    </row>
    <row r="77" customFormat="false" ht="15" hidden="false" customHeight="false" outlineLevel="0" collapsed="false">
      <c r="A77" s="14" t="str">
        <f aca="false">IF(Transações!C77&lt;&gt;"",Transações!C77,"")</f>
        <v/>
      </c>
      <c r="B77" s="14" t="str">
        <f aca="false">IF(Transações!A77&lt;&gt;"",Transações!A77,"")</f>
        <v/>
      </c>
      <c r="C77" s="14" t="str">
        <f aca="false">IF(Transações!B77&lt;&gt;"",Transações!B77,"")</f>
        <v/>
      </c>
      <c r="D77" s="15" t="str">
        <f aca="false">IF(Transações!D77&lt;&gt;"",Transações!D77,"")</f>
        <v/>
      </c>
      <c r="E77" s="16" t="str">
        <f aca="false">IF(Transações!E77&lt;&gt;"",Transações!E77,"")</f>
        <v/>
      </c>
      <c r="F77" s="7" t="str">
        <f aca="false">IF(C77="Compra",D77*E77,IF(C77="Staking",D77*E77,""))</f>
        <v/>
      </c>
      <c r="G77" s="7" t="str">
        <f aca="false">IF(C77="Venda",IF(COUNTIF(A$3:A76,A77)&gt;0,(E77-SUMPRODUCT((A$3:A76=A77)*(C$3:C76="Compra")*F$3:F76)/IF(SUMPRODUCT((A$3:A76=A77)*(C$3:C76="Compra")*D$3:D76)=0,1,SUMPRODUCT((A$3:A76=A77)*(C$3:C76="Compra")*D$3:D76)))*D77,0),"")</f>
        <v/>
      </c>
      <c r="H77" s="7" t="str">
        <f aca="false">IF(C77="Venda",E77*D77,"")</f>
        <v/>
      </c>
    </row>
    <row r="78" customFormat="false" ht="15" hidden="false" customHeight="false" outlineLevel="0" collapsed="false">
      <c r="A78" s="17" t="str">
        <f aca="false">IF(Transações!C78&lt;&gt;"",Transações!C78,"")</f>
        <v/>
      </c>
      <c r="B78" s="17" t="str">
        <f aca="false">IF(Transações!A78&lt;&gt;"",Transações!A78,"")</f>
        <v/>
      </c>
      <c r="C78" s="17" t="str">
        <f aca="false">IF(Transações!B78&lt;&gt;"",Transações!B78,"")</f>
        <v/>
      </c>
      <c r="D78" s="18" t="str">
        <f aca="false">IF(Transações!D78&lt;&gt;"",Transações!D78,"")</f>
        <v/>
      </c>
      <c r="E78" s="19" t="str">
        <f aca="false">IF(Transações!E78&lt;&gt;"",Transações!E78,"")</f>
        <v/>
      </c>
      <c r="F78" s="12" t="str">
        <f aca="false">IF(C78="Compra",D78*E78,IF(C78="Staking",D78*E78,""))</f>
        <v/>
      </c>
      <c r="G78" s="12" t="str">
        <f aca="false">IF(C78="Venda",IF(COUNTIF(A$3:A77,A78)&gt;0,(E78-SUMPRODUCT((A$3:A77=A78)*(C$3:C77="Compra")*F$3:F77)/IF(SUMPRODUCT((A$3:A77=A78)*(C$3:C77="Compra")*D$3:D77)=0,1,SUMPRODUCT((A$3:A77=A78)*(C$3:C77="Compra")*D$3:D77)))*D78,0),"")</f>
        <v/>
      </c>
      <c r="H78" s="12" t="str">
        <f aca="false">IF(C78="Venda",E78*D78,"")</f>
        <v/>
      </c>
    </row>
    <row r="79" customFormat="false" ht="15" hidden="false" customHeight="false" outlineLevel="0" collapsed="false">
      <c r="A79" s="14" t="str">
        <f aca="false">IF(Transações!C79&lt;&gt;"",Transações!C79,"")</f>
        <v/>
      </c>
      <c r="B79" s="14" t="str">
        <f aca="false">IF(Transações!A79&lt;&gt;"",Transações!A79,"")</f>
        <v/>
      </c>
      <c r="C79" s="14" t="str">
        <f aca="false">IF(Transações!B79&lt;&gt;"",Transações!B79,"")</f>
        <v/>
      </c>
      <c r="D79" s="15" t="str">
        <f aca="false">IF(Transações!D79&lt;&gt;"",Transações!D79,"")</f>
        <v/>
      </c>
      <c r="E79" s="16" t="str">
        <f aca="false">IF(Transações!E79&lt;&gt;"",Transações!E79,"")</f>
        <v/>
      </c>
      <c r="F79" s="7" t="str">
        <f aca="false">IF(C79="Compra",D79*E79,IF(C79="Staking",D79*E79,""))</f>
        <v/>
      </c>
      <c r="G79" s="7" t="str">
        <f aca="false">IF(C79="Venda",IF(COUNTIF(A$3:A78,A79)&gt;0,(E79-SUMPRODUCT((A$3:A78=A79)*(C$3:C78="Compra")*F$3:F78)/IF(SUMPRODUCT((A$3:A78=A79)*(C$3:C78="Compra")*D$3:D78)=0,1,SUMPRODUCT((A$3:A78=A79)*(C$3:C78="Compra")*D$3:D78)))*D79,0),"")</f>
        <v/>
      </c>
      <c r="H79" s="7" t="str">
        <f aca="false">IF(C79="Venda",E79*D79,"")</f>
        <v/>
      </c>
    </row>
    <row r="80" customFormat="false" ht="15" hidden="false" customHeight="false" outlineLevel="0" collapsed="false">
      <c r="A80" s="17" t="str">
        <f aca="false">IF(Transações!C80&lt;&gt;"",Transações!C80,"")</f>
        <v/>
      </c>
      <c r="B80" s="17" t="str">
        <f aca="false">IF(Transações!A80&lt;&gt;"",Transações!A80,"")</f>
        <v/>
      </c>
      <c r="C80" s="17" t="str">
        <f aca="false">IF(Transações!B80&lt;&gt;"",Transações!B80,"")</f>
        <v/>
      </c>
      <c r="D80" s="18" t="str">
        <f aca="false">IF(Transações!D80&lt;&gt;"",Transações!D80,"")</f>
        <v/>
      </c>
      <c r="E80" s="19" t="str">
        <f aca="false">IF(Transações!E80&lt;&gt;"",Transações!E80,"")</f>
        <v/>
      </c>
      <c r="F80" s="12" t="str">
        <f aca="false">IF(C80="Compra",D80*E80,IF(C80="Staking",D80*E80,""))</f>
        <v/>
      </c>
      <c r="G80" s="12" t="str">
        <f aca="false">IF(C80="Venda",IF(COUNTIF(A$3:A79,A80)&gt;0,(E80-SUMPRODUCT((A$3:A79=A80)*(C$3:C79="Compra")*F$3:F79)/IF(SUMPRODUCT((A$3:A79=A80)*(C$3:C79="Compra")*D$3:D79)=0,1,SUMPRODUCT((A$3:A79=A80)*(C$3:C79="Compra")*D$3:D79)))*D80,0),"")</f>
        <v/>
      </c>
      <c r="H80" s="12" t="str">
        <f aca="false">IF(C80="Venda",E80*D80,"")</f>
        <v/>
      </c>
    </row>
    <row r="81" customFormat="false" ht="15" hidden="false" customHeight="false" outlineLevel="0" collapsed="false">
      <c r="A81" s="14" t="str">
        <f aca="false">IF(Transações!C81&lt;&gt;"",Transações!C81,"")</f>
        <v/>
      </c>
      <c r="B81" s="14" t="str">
        <f aca="false">IF(Transações!A81&lt;&gt;"",Transações!A81,"")</f>
        <v/>
      </c>
      <c r="C81" s="14" t="str">
        <f aca="false">IF(Transações!B81&lt;&gt;"",Transações!B81,"")</f>
        <v/>
      </c>
      <c r="D81" s="15" t="str">
        <f aca="false">IF(Transações!D81&lt;&gt;"",Transações!D81,"")</f>
        <v/>
      </c>
      <c r="E81" s="16" t="str">
        <f aca="false">IF(Transações!E81&lt;&gt;"",Transações!E81,"")</f>
        <v/>
      </c>
      <c r="F81" s="7" t="str">
        <f aca="false">IF(C81="Compra",D81*E81,IF(C81="Staking",D81*E81,""))</f>
        <v/>
      </c>
      <c r="G81" s="7" t="str">
        <f aca="false">IF(C81="Venda",IF(COUNTIF(A$3:A80,A81)&gt;0,(E81-SUMPRODUCT((A$3:A80=A81)*(C$3:C80="Compra")*F$3:F80)/IF(SUMPRODUCT((A$3:A80=A81)*(C$3:C80="Compra")*D$3:D80)=0,1,SUMPRODUCT((A$3:A80=A81)*(C$3:C80="Compra")*D$3:D80)))*D81,0),"")</f>
        <v/>
      </c>
      <c r="H81" s="7" t="str">
        <f aca="false">IF(C81="Venda",E81*D81,"")</f>
        <v/>
      </c>
    </row>
    <row r="82" customFormat="false" ht="15" hidden="false" customHeight="false" outlineLevel="0" collapsed="false">
      <c r="A82" s="17" t="str">
        <f aca="false">IF(Transações!C82&lt;&gt;"",Transações!C82,"")</f>
        <v/>
      </c>
      <c r="B82" s="17" t="str">
        <f aca="false">IF(Transações!A82&lt;&gt;"",Transações!A82,"")</f>
        <v/>
      </c>
      <c r="C82" s="17" t="str">
        <f aca="false">IF(Transações!B82&lt;&gt;"",Transações!B82,"")</f>
        <v/>
      </c>
      <c r="D82" s="18" t="str">
        <f aca="false">IF(Transações!D82&lt;&gt;"",Transações!D82,"")</f>
        <v/>
      </c>
      <c r="E82" s="19" t="str">
        <f aca="false">IF(Transações!E82&lt;&gt;"",Transações!E82,"")</f>
        <v/>
      </c>
      <c r="F82" s="12" t="str">
        <f aca="false">IF(C82="Compra",D82*E82,IF(C82="Staking",D82*E82,""))</f>
        <v/>
      </c>
      <c r="G82" s="12" t="str">
        <f aca="false">IF(C82="Venda",IF(COUNTIF(A$3:A81,A82)&gt;0,(E82-SUMPRODUCT((A$3:A81=A82)*(C$3:C81="Compra")*F$3:F81)/IF(SUMPRODUCT((A$3:A81=A82)*(C$3:C81="Compra")*D$3:D81)=0,1,SUMPRODUCT((A$3:A81=A82)*(C$3:C81="Compra")*D$3:D81)))*D82,0),"")</f>
        <v/>
      </c>
      <c r="H82" s="12" t="str">
        <f aca="false">IF(C82="Venda",E82*D82,"")</f>
        <v/>
      </c>
    </row>
    <row r="83" customFormat="false" ht="15" hidden="false" customHeight="false" outlineLevel="0" collapsed="false">
      <c r="A83" s="14" t="str">
        <f aca="false">IF(Transações!C83&lt;&gt;"",Transações!C83,"")</f>
        <v/>
      </c>
      <c r="B83" s="14" t="str">
        <f aca="false">IF(Transações!A83&lt;&gt;"",Transações!A83,"")</f>
        <v/>
      </c>
      <c r="C83" s="14" t="str">
        <f aca="false">IF(Transações!B83&lt;&gt;"",Transações!B83,"")</f>
        <v/>
      </c>
      <c r="D83" s="15" t="str">
        <f aca="false">IF(Transações!D83&lt;&gt;"",Transações!D83,"")</f>
        <v/>
      </c>
      <c r="E83" s="16" t="str">
        <f aca="false">IF(Transações!E83&lt;&gt;"",Transações!E83,"")</f>
        <v/>
      </c>
      <c r="F83" s="7" t="str">
        <f aca="false">IF(C83="Compra",D83*E83,IF(C83="Staking",D83*E83,""))</f>
        <v/>
      </c>
      <c r="G83" s="7" t="str">
        <f aca="false">IF(C83="Venda",IF(COUNTIF(A$3:A82,A83)&gt;0,(E83-SUMPRODUCT((A$3:A82=A83)*(C$3:C82="Compra")*F$3:F82)/IF(SUMPRODUCT((A$3:A82=A83)*(C$3:C82="Compra")*D$3:D82)=0,1,SUMPRODUCT((A$3:A82=A83)*(C$3:C82="Compra")*D$3:D82)))*D83,0),"")</f>
        <v/>
      </c>
      <c r="H83" s="7" t="str">
        <f aca="false">IF(C83="Venda",E83*D83,"")</f>
        <v/>
      </c>
    </row>
    <row r="84" customFormat="false" ht="15" hidden="false" customHeight="false" outlineLevel="0" collapsed="false">
      <c r="A84" s="17" t="str">
        <f aca="false">IF(Transações!C84&lt;&gt;"",Transações!C84,"")</f>
        <v/>
      </c>
      <c r="B84" s="17" t="str">
        <f aca="false">IF(Transações!A84&lt;&gt;"",Transações!A84,"")</f>
        <v/>
      </c>
      <c r="C84" s="17" t="str">
        <f aca="false">IF(Transações!B84&lt;&gt;"",Transações!B84,"")</f>
        <v/>
      </c>
      <c r="D84" s="18" t="str">
        <f aca="false">IF(Transações!D84&lt;&gt;"",Transações!D84,"")</f>
        <v/>
      </c>
      <c r="E84" s="19" t="str">
        <f aca="false">IF(Transações!E84&lt;&gt;"",Transações!E84,"")</f>
        <v/>
      </c>
      <c r="F84" s="12" t="str">
        <f aca="false">IF(C84="Compra",D84*E84,IF(C84="Staking",D84*E84,""))</f>
        <v/>
      </c>
      <c r="G84" s="12" t="str">
        <f aca="false">IF(C84="Venda",IF(COUNTIF(A$3:A83,A84)&gt;0,(E84-SUMPRODUCT((A$3:A83=A84)*(C$3:C83="Compra")*F$3:F83)/IF(SUMPRODUCT((A$3:A83=A84)*(C$3:C83="Compra")*D$3:D83)=0,1,SUMPRODUCT((A$3:A83=A84)*(C$3:C83="Compra")*D$3:D83)))*D84,0),"")</f>
        <v/>
      </c>
      <c r="H84" s="12" t="str">
        <f aca="false">IF(C84="Venda",E84*D84,"")</f>
        <v/>
      </c>
    </row>
    <row r="85" customFormat="false" ht="15" hidden="false" customHeight="false" outlineLevel="0" collapsed="false">
      <c r="A85" s="14" t="str">
        <f aca="false">IF(Transações!C85&lt;&gt;"",Transações!C85,"")</f>
        <v/>
      </c>
      <c r="B85" s="14" t="str">
        <f aca="false">IF(Transações!A85&lt;&gt;"",Transações!A85,"")</f>
        <v/>
      </c>
      <c r="C85" s="14" t="str">
        <f aca="false">IF(Transações!B85&lt;&gt;"",Transações!B85,"")</f>
        <v/>
      </c>
      <c r="D85" s="15" t="str">
        <f aca="false">IF(Transações!D85&lt;&gt;"",Transações!D85,"")</f>
        <v/>
      </c>
      <c r="E85" s="16" t="str">
        <f aca="false">IF(Transações!E85&lt;&gt;"",Transações!E85,"")</f>
        <v/>
      </c>
      <c r="F85" s="7" t="str">
        <f aca="false">IF(C85="Compra",D85*E85,IF(C85="Staking",D85*E85,""))</f>
        <v/>
      </c>
      <c r="G85" s="7" t="str">
        <f aca="false">IF(C85="Venda",IF(COUNTIF(A$3:A84,A85)&gt;0,(E85-SUMPRODUCT((A$3:A84=A85)*(C$3:C84="Compra")*F$3:F84)/IF(SUMPRODUCT((A$3:A84=A85)*(C$3:C84="Compra")*D$3:D84)=0,1,SUMPRODUCT((A$3:A84=A85)*(C$3:C84="Compra")*D$3:D84)))*D85,0),"")</f>
        <v/>
      </c>
      <c r="H85" s="7" t="str">
        <f aca="false">IF(C85="Venda",E85*D85,"")</f>
        <v/>
      </c>
    </row>
    <row r="86" customFormat="false" ht="15" hidden="false" customHeight="false" outlineLevel="0" collapsed="false">
      <c r="A86" s="17" t="str">
        <f aca="false">IF(Transações!C86&lt;&gt;"",Transações!C86,"")</f>
        <v/>
      </c>
      <c r="B86" s="17" t="str">
        <f aca="false">IF(Transações!A86&lt;&gt;"",Transações!A86,"")</f>
        <v/>
      </c>
      <c r="C86" s="17" t="str">
        <f aca="false">IF(Transações!B86&lt;&gt;"",Transações!B86,"")</f>
        <v/>
      </c>
      <c r="D86" s="18" t="str">
        <f aca="false">IF(Transações!D86&lt;&gt;"",Transações!D86,"")</f>
        <v/>
      </c>
      <c r="E86" s="19" t="str">
        <f aca="false">IF(Transações!E86&lt;&gt;"",Transações!E86,"")</f>
        <v/>
      </c>
      <c r="F86" s="12" t="str">
        <f aca="false">IF(C86="Compra",D86*E86,IF(C86="Staking",D86*E86,""))</f>
        <v/>
      </c>
      <c r="G86" s="12" t="str">
        <f aca="false">IF(C86="Venda",IF(COUNTIF(A$3:A85,A86)&gt;0,(E86-SUMPRODUCT((A$3:A85=A86)*(C$3:C85="Compra")*F$3:F85)/IF(SUMPRODUCT((A$3:A85=A86)*(C$3:C85="Compra")*D$3:D85)=0,1,SUMPRODUCT((A$3:A85=A86)*(C$3:C85="Compra")*D$3:D85)))*D86,0),"")</f>
        <v/>
      </c>
      <c r="H86" s="12" t="str">
        <f aca="false">IF(C86="Venda",E86*D86,"")</f>
        <v/>
      </c>
    </row>
    <row r="87" customFormat="false" ht="15" hidden="false" customHeight="false" outlineLevel="0" collapsed="false">
      <c r="A87" s="14" t="str">
        <f aca="false">IF(Transações!C87&lt;&gt;"",Transações!C87,"")</f>
        <v/>
      </c>
      <c r="B87" s="14" t="str">
        <f aca="false">IF(Transações!A87&lt;&gt;"",Transações!A87,"")</f>
        <v/>
      </c>
      <c r="C87" s="14" t="str">
        <f aca="false">IF(Transações!B87&lt;&gt;"",Transações!B87,"")</f>
        <v/>
      </c>
      <c r="D87" s="15" t="str">
        <f aca="false">IF(Transações!D87&lt;&gt;"",Transações!D87,"")</f>
        <v/>
      </c>
      <c r="E87" s="16" t="str">
        <f aca="false">IF(Transações!E87&lt;&gt;"",Transações!E87,"")</f>
        <v/>
      </c>
      <c r="F87" s="7" t="str">
        <f aca="false">IF(C87="Compra",D87*E87,IF(C87="Staking",D87*E87,""))</f>
        <v/>
      </c>
      <c r="G87" s="7" t="str">
        <f aca="false">IF(C87="Venda",IF(COUNTIF(A$3:A86,A87)&gt;0,(E87-SUMPRODUCT((A$3:A86=A87)*(C$3:C86="Compra")*F$3:F86)/IF(SUMPRODUCT((A$3:A86=A87)*(C$3:C86="Compra")*D$3:D86)=0,1,SUMPRODUCT((A$3:A86=A87)*(C$3:C86="Compra")*D$3:D86)))*D87,0),"")</f>
        <v/>
      </c>
      <c r="H87" s="7" t="str">
        <f aca="false">IF(C87="Venda",E87*D87,"")</f>
        <v/>
      </c>
    </row>
    <row r="88" customFormat="false" ht="15" hidden="false" customHeight="false" outlineLevel="0" collapsed="false">
      <c r="A88" s="17" t="str">
        <f aca="false">IF(Transações!C88&lt;&gt;"",Transações!C88,"")</f>
        <v/>
      </c>
      <c r="B88" s="17" t="str">
        <f aca="false">IF(Transações!A88&lt;&gt;"",Transações!A88,"")</f>
        <v/>
      </c>
      <c r="C88" s="17" t="str">
        <f aca="false">IF(Transações!B88&lt;&gt;"",Transações!B88,"")</f>
        <v/>
      </c>
      <c r="D88" s="18" t="str">
        <f aca="false">IF(Transações!D88&lt;&gt;"",Transações!D88,"")</f>
        <v/>
      </c>
      <c r="E88" s="19" t="str">
        <f aca="false">IF(Transações!E88&lt;&gt;"",Transações!E88,"")</f>
        <v/>
      </c>
      <c r="F88" s="12" t="str">
        <f aca="false">IF(C88="Compra",D88*E88,IF(C88="Staking",D88*E88,""))</f>
        <v/>
      </c>
      <c r="G88" s="12" t="str">
        <f aca="false">IF(C88="Venda",IF(COUNTIF(A$3:A87,A88)&gt;0,(E88-SUMPRODUCT((A$3:A87=A88)*(C$3:C87="Compra")*F$3:F87)/IF(SUMPRODUCT((A$3:A87=A88)*(C$3:C87="Compra")*D$3:D87)=0,1,SUMPRODUCT((A$3:A87=A88)*(C$3:C87="Compra")*D$3:D87)))*D88,0),"")</f>
        <v/>
      </c>
      <c r="H88" s="12" t="str">
        <f aca="false">IF(C88="Venda",E88*D88,"")</f>
        <v/>
      </c>
    </row>
    <row r="89" customFormat="false" ht="15" hidden="false" customHeight="false" outlineLevel="0" collapsed="false">
      <c r="A89" s="14" t="str">
        <f aca="false">IF(Transações!C89&lt;&gt;"",Transações!C89,"")</f>
        <v/>
      </c>
      <c r="B89" s="14" t="str">
        <f aca="false">IF(Transações!A89&lt;&gt;"",Transações!A89,"")</f>
        <v/>
      </c>
      <c r="C89" s="14" t="str">
        <f aca="false">IF(Transações!B89&lt;&gt;"",Transações!B89,"")</f>
        <v/>
      </c>
      <c r="D89" s="15" t="str">
        <f aca="false">IF(Transações!D89&lt;&gt;"",Transações!D89,"")</f>
        <v/>
      </c>
      <c r="E89" s="16" t="str">
        <f aca="false">IF(Transações!E89&lt;&gt;"",Transações!E89,"")</f>
        <v/>
      </c>
      <c r="F89" s="7" t="str">
        <f aca="false">IF(C89="Compra",D89*E89,IF(C89="Staking",D89*E89,""))</f>
        <v/>
      </c>
      <c r="G89" s="7" t="str">
        <f aca="false">IF(C89="Venda",IF(COUNTIF(A$3:A88,A89)&gt;0,(E89-SUMPRODUCT((A$3:A88=A89)*(C$3:C88="Compra")*F$3:F88)/IF(SUMPRODUCT((A$3:A88=A89)*(C$3:C88="Compra")*D$3:D88)=0,1,SUMPRODUCT((A$3:A88=A89)*(C$3:C88="Compra")*D$3:D88)))*D89,0),"")</f>
        <v/>
      </c>
      <c r="H89" s="7" t="str">
        <f aca="false">IF(C89="Venda",E89*D89,"")</f>
        <v/>
      </c>
    </row>
    <row r="90" customFormat="false" ht="15" hidden="false" customHeight="false" outlineLevel="0" collapsed="false">
      <c r="A90" s="17" t="str">
        <f aca="false">IF(Transações!C90&lt;&gt;"",Transações!C90,"")</f>
        <v/>
      </c>
      <c r="B90" s="17" t="str">
        <f aca="false">IF(Transações!A90&lt;&gt;"",Transações!A90,"")</f>
        <v/>
      </c>
      <c r="C90" s="17" t="str">
        <f aca="false">IF(Transações!B90&lt;&gt;"",Transações!B90,"")</f>
        <v/>
      </c>
      <c r="D90" s="18" t="str">
        <f aca="false">IF(Transações!D90&lt;&gt;"",Transações!D90,"")</f>
        <v/>
      </c>
      <c r="E90" s="19" t="str">
        <f aca="false">IF(Transações!E90&lt;&gt;"",Transações!E90,"")</f>
        <v/>
      </c>
      <c r="F90" s="12" t="str">
        <f aca="false">IF(C90="Compra",D90*E90,IF(C90="Staking",D90*E90,""))</f>
        <v/>
      </c>
      <c r="G90" s="12" t="str">
        <f aca="false">IF(C90="Venda",IF(COUNTIF(A$3:A89,A90)&gt;0,(E90-SUMPRODUCT((A$3:A89=A90)*(C$3:C89="Compra")*F$3:F89)/IF(SUMPRODUCT((A$3:A89=A90)*(C$3:C89="Compra")*D$3:D89)=0,1,SUMPRODUCT((A$3:A89=A90)*(C$3:C89="Compra")*D$3:D89)))*D90,0),"")</f>
        <v/>
      </c>
      <c r="H90" s="12" t="str">
        <f aca="false">IF(C90="Venda",E90*D90,"")</f>
        <v/>
      </c>
    </row>
    <row r="91" customFormat="false" ht="15" hidden="false" customHeight="false" outlineLevel="0" collapsed="false">
      <c r="A91" s="14" t="str">
        <f aca="false">IF(Transações!C91&lt;&gt;"",Transações!C91,"")</f>
        <v/>
      </c>
      <c r="B91" s="14" t="str">
        <f aca="false">IF(Transações!A91&lt;&gt;"",Transações!A91,"")</f>
        <v/>
      </c>
      <c r="C91" s="14" t="str">
        <f aca="false">IF(Transações!B91&lt;&gt;"",Transações!B91,"")</f>
        <v/>
      </c>
      <c r="D91" s="15" t="str">
        <f aca="false">IF(Transações!D91&lt;&gt;"",Transações!D91,"")</f>
        <v/>
      </c>
      <c r="E91" s="16" t="str">
        <f aca="false">IF(Transações!E91&lt;&gt;"",Transações!E91,"")</f>
        <v/>
      </c>
      <c r="F91" s="7" t="str">
        <f aca="false">IF(C91="Compra",D91*E91,IF(C91="Staking",D91*E91,""))</f>
        <v/>
      </c>
      <c r="G91" s="7" t="str">
        <f aca="false">IF(C91="Venda",IF(COUNTIF(A$3:A90,A91)&gt;0,(E91-SUMPRODUCT((A$3:A90=A91)*(C$3:C90="Compra")*F$3:F90)/IF(SUMPRODUCT((A$3:A90=A91)*(C$3:C90="Compra")*D$3:D90)=0,1,SUMPRODUCT((A$3:A90=A91)*(C$3:C90="Compra")*D$3:D90)))*D91,0),"")</f>
        <v/>
      </c>
      <c r="H91" s="7" t="str">
        <f aca="false">IF(C91="Venda",E91*D91,"")</f>
        <v/>
      </c>
    </row>
    <row r="92" customFormat="false" ht="15" hidden="false" customHeight="false" outlineLevel="0" collapsed="false">
      <c r="A92" s="17" t="str">
        <f aca="false">IF(Transações!C92&lt;&gt;"",Transações!C92,"")</f>
        <v/>
      </c>
      <c r="B92" s="17" t="str">
        <f aca="false">IF(Transações!A92&lt;&gt;"",Transações!A92,"")</f>
        <v/>
      </c>
      <c r="C92" s="17" t="str">
        <f aca="false">IF(Transações!B92&lt;&gt;"",Transações!B92,"")</f>
        <v/>
      </c>
      <c r="D92" s="18" t="str">
        <f aca="false">IF(Transações!D92&lt;&gt;"",Transações!D92,"")</f>
        <v/>
      </c>
      <c r="E92" s="19" t="str">
        <f aca="false">IF(Transações!E92&lt;&gt;"",Transações!E92,"")</f>
        <v/>
      </c>
      <c r="F92" s="12" t="str">
        <f aca="false">IF(C92="Compra",D92*E92,IF(C92="Staking",D92*E92,""))</f>
        <v/>
      </c>
      <c r="G92" s="12" t="str">
        <f aca="false">IF(C92="Venda",IF(COUNTIF(A$3:A91,A92)&gt;0,(E92-SUMPRODUCT((A$3:A91=A92)*(C$3:C91="Compra")*F$3:F91)/IF(SUMPRODUCT((A$3:A91=A92)*(C$3:C91="Compra")*D$3:D91)=0,1,SUMPRODUCT((A$3:A91=A92)*(C$3:C91="Compra")*D$3:D91)))*D92,0),"")</f>
        <v/>
      </c>
      <c r="H92" s="12" t="str">
        <f aca="false">IF(C92="Venda",E92*D92,"")</f>
        <v/>
      </c>
    </row>
    <row r="93" customFormat="false" ht="15" hidden="false" customHeight="false" outlineLevel="0" collapsed="false">
      <c r="A93" s="14" t="str">
        <f aca="false">IF(Transações!C93&lt;&gt;"",Transações!C93,"")</f>
        <v/>
      </c>
      <c r="B93" s="14" t="str">
        <f aca="false">IF(Transações!A93&lt;&gt;"",Transações!A93,"")</f>
        <v/>
      </c>
      <c r="C93" s="14" t="str">
        <f aca="false">IF(Transações!B93&lt;&gt;"",Transações!B93,"")</f>
        <v/>
      </c>
      <c r="D93" s="15" t="str">
        <f aca="false">IF(Transações!D93&lt;&gt;"",Transações!D93,"")</f>
        <v/>
      </c>
      <c r="E93" s="16" t="str">
        <f aca="false">IF(Transações!E93&lt;&gt;"",Transações!E93,"")</f>
        <v/>
      </c>
      <c r="F93" s="7" t="str">
        <f aca="false">IF(C93="Compra",D93*E93,IF(C93="Staking",D93*E93,""))</f>
        <v/>
      </c>
      <c r="G93" s="7" t="str">
        <f aca="false">IF(C93="Venda",IF(COUNTIF(A$3:A92,A93)&gt;0,(E93-SUMPRODUCT((A$3:A92=A93)*(C$3:C92="Compra")*F$3:F92)/IF(SUMPRODUCT((A$3:A92=A93)*(C$3:C92="Compra")*D$3:D92)=0,1,SUMPRODUCT((A$3:A92=A93)*(C$3:C92="Compra")*D$3:D92)))*D93,0),"")</f>
        <v/>
      </c>
      <c r="H93" s="7" t="str">
        <f aca="false">IF(C93="Venda",E93*D93,"")</f>
        <v/>
      </c>
    </row>
    <row r="94" customFormat="false" ht="15" hidden="false" customHeight="false" outlineLevel="0" collapsed="false">
      <c r="A94" s="17" t="str">
        <f aca="false">IF(Transações!C94&lt;&gt;"",Transações!C94,"")</f>
        <v/>
      </c>
      <c r="B94" s="17" t="str">
        <f aca="false">IF(Transações!A94&lt;&gt;"",Transações!A94,"")</f>
        <v/>
      </c>
      <c r="C94" s="17" t="str">
        <f aca="false">IF(Transações!B94&lt;&gt;"",Transações!B94,"")</f>
        <v/>
      </c>
      <c r="D94" s="18" t="str">
        <f aca="false">IF(Transações!D94&lt;&gt;"",Transações!D94,"")</f>
        <v/>
      </c>
      <c r="E94" s="19" t="str">
        <f aca="false">IF(Transações!E94&lt;&gt;"",Transações!E94,"")</f>
        <v/>
      </c>
      <c r="F94" s="12" t="str">
        <f aca="false">IF(C94="Compra",D94*E94,IF(C94="Staking",D94*E94,""))</f>
        <v/>
      </c>
      <c r="G94" s="12" t="str">
        <f aca="false">IF(C94="Venda",IF(COUNTIF(A$3:A93,A94)&gt;0,(E94-SUMPRODUCT((A$3:A93=A94)*(C$3:C93="Compra")*F$3:F93)/IF(SUMPRODUCT((A$3:A93=A94)*(C$3:C93="Compra")*D$3:D93)=0,1,SUMPRODUCT((A$3:A93=A94)*(C$3:C93="Compra")*D$3:D93)))*D94,0),"")</f>
        <v/>
      </c>
      <c r="H94" s="12" t="str">
        <f aca="false">IF(C94="Venda",E94*D94,"")</f>
        <v/>
      </c>
    </row>
    <row r="95" customFormat="false" ht="15" hidden="false" customHeight="false" outlineLevel="0" collapsed="false">
      <c r="A95" s="14" t="str">
        <f aca="false">IF(Transações!C95&lt;&gt;"",Transações!C95,"")</f>
        <v/>
      </c>
      <c r="B95" s="14" t="str">
        <f aca="false">IF(Transações!A95&lt;&gt;"",Transações!A95,"")</f>
        <v/>
      </c>
      <c r="C95" s="14" t="str">
        <f aca="false">IF(Transações!B95&lt;&gt;"",Transações!B95,"")</f>
        <v/>
      </c>
      <c r="D95" s="15" t="str">
        <f aca="false">IF(Transações!D95&lt;&gt;"",Transações!D95,"")</f>
        <v/>
      </c>
      <c r="E95" s="16" t="str">
        <f aca="false">IF(Transações!E95&lt;&gt;"",Transações!E95,"")</f>
        <v/>
      </c>
      <c r="F95" s="7" t="str">
        <f aca="false">IF(C95="Compra",D95*E95,IF(C95="Staking",D95*E95,""))</f>
        <v/>
      </c>
      <c r="G95" s="7" t="str">
        <f aca="false">IF(C95="Venda",IF(COUNTIF(A$3:A94,A95)&gt;0,(E95-SUMPRODUCT((A$3:A94=A95)*(C$3:C94="Compra")*F$3:F94)/IF(SUMPRODUCT((A$3:A94=A95)*(C$3:C94="Compra")*D$3:D94)=0,1,SUMPRODUCT((A$3:A94=A95)*(C$3:C94="Compra")*D$3:D94)))*D95,0),"")</f>
        <v/>
      </c>
      <c r="H95" s="7" t="str">
        <f aca="false">IF(C95="Venda",E95*D95,"")</f>
        <v/>
      </c>
    </row>
    <row r="96" customFormat="false" ht="15" hidden="false" customHeight="false" outlineLevel="0" collapsed="false">
      <c r="A96" s="17" t="str">
        <f aca="false">IF(Transações!C96&lt;&gt;"",Transações!C96,"")</f>
        <v/>
      </c>
      <c r="B96" s="17" t="str">
        <f aca="false">IF(Transações!A96&lt;&gt;"",Transações!A96,"")</f>
        <v/>
      </c>
      <c r="C96" s="17" t="str">
        <f aca="false">IF(Transações!B96&lt;&gt;"",Transações!B96,"")</f>
        <v/>
      </c>
      <c r="D96" s="18" t="str">
        <f aca="false">IF(Transações!D96&lt;&gt;"",Transações!D96,"")</f>
        <v/>
      </c>
      <c r="E96" s="19" t="str">
        <f aca="false">IF(Transações!E96&lt;&gt;"",Transações!E96,"")</f>
        <v/>
      </c>
      <c r="F96" s="12" t="str">
        <f aca="false">IF(C96="Compra",D96*E96,IF(C96="Staking",D96*E96,""))</f>
        <v/>
      </c>
      <c r="G96" s="12" t="str">
        <f aca="false">IF(C96="Venda",IF(COUNTIF(A$3:A95,A96)&gt;0,(E96-SUMPRODUCT((A$3:A95=A96)*(C$3:C95="Compra")*F$3:F95)/IF(SUMPRODUCT((A$3:A95=A96)*(C$3:C95="Compra")*D$3:D95)=0,1,SUMPRODUCT((A$3:A95=A96)*(C$3:C95="Compra")*D$3:D95)))*D96,0),"")</f>
        <v/>
      </c>
      <c r="H96" s="12" t="str">
        <f aca="false">IF(C96="Venda",E96*D96,"")</f>
        <v/>
      </c>
    </row>
    <row r="97" customFormat="false" ht="15" hidden="false" customHeight="false" outlineLevel="0" collapsed="false">
      <c r="A97" s="14" t="str">
        <f aca="false">IF(Transações!C97&lt;&gt;"",Transações!C97,"")</f>
        <v/>
      </c>
      <c r="B97" s="14" t="str">
        <f aca="false">IF(Transações!A97&lt;&gt;"",Transações!A97,"")</f>
        <v/>
      </c>
      <c r="C97" s="14" t="str">
        <f aca="false">IF(Transações!B97&lt;&gt;"",Transações!B97,"")</f>
        <v/>
      </c>
      <c r="D97" s="15" t="str">
        <f aca="false">IF(Transações!D97&lt;&gt;"",Transações!D97,"")</f>
        <v/>
      </c>
      <c r="E97" s="16" t="str">
        <f aca="false">IF(Transações!E97&lt;&gt;"",Transações!E97,"")</f>
        <v/>
      </c>
      <c r="F97" s="7" t="str">
        <f aca="false">IF(C97="Compra",D97*E97,IF(C97="Staking",D97*E97,""))</f>
        <v/>
      </c>
      <c r="G97" s="7" t="str">
        <f aca="false">IF(C97="Venda",IF(COUNTIF(A$3:A96,A97)&gt;0,(E97-SUMPRODUCT((A$3:A96=A97)*(C$3:C96="Compra")*F$3:F96)/IF(SUMPRODUCT((A$3:A96=A97)*(C$3:C96="Compra")*D$3:D96)=0,1,SUMPRODUCT((A$3:A96=A97)*(C$3:C96="Compra")*D$3:D96)))*D97,0),"")</f>
        <v/>
      </c>
      <c r="H97" s="7" t="str">
        <f aca="false">IF(C97="Venda",E97*D97,"")</f>
        <v/>
      </c>
    </row>
    <row r="98" customFormat="false" ht="15" hidden="false" customHeight="false" outlineLevel="0" collapsed="false">
      <c r="A98" s="17" t="str">
        <f aca="false">IF(Transações!C98&lt;&gt;"",Transações!C98,"")</f>
        <v/>
      </c>
      <c r="B98" s="17" t="str">
        <f aca="false">IF(Transações!A98&lt;&gt;"",Transações!A98,"")</f>
        <v/>
      </c>
      <c r="C98" s="17" t="str">
        <f aca="false">IF(Transações!B98&lt;&gt;"",Transações!B98,"")</f>
        <v/>
      </c>
      <c r="D98" s="18" t="str">
        <f aca="false">IF(Transações!D98&lt;&gt;"",Transações!D98,"")</f>
        <v/>
      </c>
      <c r="E98" s="19" t="str">
        <f aca="false">IF(Transações!E98&lt;&gt;"",Transações!E98,"")</f>
        <v/>
      </c>
      <c r="F98" s="12" t="str">
        <f aca="false">IF(C98="Compra",D98*E98,IF(C98="Staking",D98*E98,""))</f>
        <v/>
      </c>
      <c r="G98" s="12" t="str">
        <f aca="false">IF(C98="Venda",IF(COUNTIF(A$3:A97,A98)&gt;0,(E98-SUMPRODUCT((A$3:A97=A98)*(C$3:C97="Compra")*F$3:F97)/IF(SUMPRODUCT((A$3:A97=A98)*(C$3:C97="Compra")*D$3:D97)=0,1,SUMPRODUCT((A$3:A97=A98)*(C$3:C97="Compra")*D$3:D97)))*D98,0),"")</f>
        <v/>
      </c>
      <c r="H98" s="12" t="str">
        <f aca="false">IF(C98="Venda",E98*D98,"")</f>
        <v/>
      </c>
    </row>
    <row r="99" customFormat="false" ht="15" hidden="false" customHeight="false" outlineLevel="0" collapsed="false">
      <c r="A99" s="14" t="str">
        <f aca="false">IF(Transações!C99&lt;&gt;"",Transações!C99,"")</f>
        <v/>
      </c>
      <c r="B99" s="14" t="str">
        <f aca="false">IF(Transações!A99&lt;&gt;"",Transações!A99,"")</f>
        <v/>
      </c>
      <c r="C99" s="14" t="str">
        <f aca="false">IF(Transações!B99&lt;&gt;"",Transações!B99,"")</f>
        <v/>
      </c>
      <c r="D99" s="15" t="str">
        <f aca="false">IF(Transações!D99&lt;&gt;"",Transações!D99,"")</f>
        <v/>
      </c>
      <c r="E99" s="16" t="str">
        <f aca="false">IF(Transações!E99&lt;&gt;"",Transações!E99,"")</f>
        <v/>
      </c>
      <c r="F99" s="7" t="str">
        <f aca="false">IF(C99="Compra",D99*E99,IF(C99="Staking",D99*E99,""))</f>
        <v/>
      </c>
      <c r="G99" s="7" t="str">
        <f aca="false">IF(C99="Venda",IF(COUNTIF(A$3:A98,A99)&gt;0,(E99-SUMPRODUCT((A$3:A98=A99)*(C$3:C98="Compra")*F$3:F98)/IF(SUMPRODUCT((A$3:A98=A99)*(C$3:C98="Compra")*D$3:D98)=0,1,SUMPRODUCT((A$3:A98=A99)*(C$3:C98="Compra")*D$3:D98)))*D99,0),"")</f>
        <v/>
      </c>
      <c r="H99" s="7" t="str">
        <f aca="false">IF(C99="Venda",E99*D99,"")</f>
        <v/>
      </c>
    </row>
    <row r="100" customFormat="false" ht="15" hidden="false" customHeight="false" outlineLevel="0" collapsed="false">
      <c r="A100" s="17" t="str">
        <f aca="false">IF(Transações!C100&lt;&gt;"",Transações!C100,"")</f>
        <v/>
      </c>
      <c r="B100" s="17" t="str">
        <f aca="false">IF(Transações!A100&lt;&gt;"",Transações!A100,"")</f>
        <v/>
      </c>
      <c r="C100" s="17" t="str">
        <f aca="false">IF(Transações!B100&lt;&gt;"",Transações!B100,"")</f>
        <v/>
      </c>
      <c r="D100" s="18" t="str">
        <f aca="false">IF(Transações!D100&lt;&gt;"",Transações!D100,"")</f>
        <v/>
      </c>
      <c r="E100" s="19" t="str">
        <f aca="false">IF(Transações!E100&lt;&gt;"",Transações!E100,"")</f>
        <v/>
      </c>
      <c r="F100" s="12" t="str">
        <f aca="false">IF(C100="Compra",D100*E100,IF(C100="Staking",D100*E100,""))</f>
        <v/>
      </c>
      <c r="G100" s="12" t="str">
        <f aca="false">IF(C100="Venda",IF(COUNTIF(A$3:A99,A100)&gt;0,(E100-SUMPRODUCT((A$3:A99=A100)*(C$3:C99="Compra")*F$3:F99)/IF(SUMPRODUCT((A$3:A99=A100)*(C$3:C99="Compra")*D$3:D99)=0,1,SUMPRODUCT((A$3:A99=A100)*(C$3:C99="Compra")*D$3:D99)))*D100,0),"")</f>
        <v/>
      </c>
      <c r="H100" s="12" t="str">
        <f aca="false">IF(C100="Venda",E100*D100,"")</f>
        <v/>
      </c>
    </row>
    <row r="101" customFormat="false" ht="15" hidden="false" customHeight="false" outlineLevel="0" collapsed="false">
      <c r="A101" s="14" t="str">
        <f aca="false">IF(Transações!C101&lt;&gt;"",Transações!C101,"")</f>
        <v/>
      </c>
      <c r="B101" s="14" t="str">
        <f aca="false">IF(Transações!A101&lt;&gt;"",Transações!A101,"")</f>
        <v/>
      </c>
      <c r="C101" s="14" t="str">
        <f aca="false">IF(Transações!B101&lt;&gt;"",Transações!B101,"")</f>
        <v/>
      </c>
      <c r="D101" s="15" t="str">
        <f aca="false">IF(Transações!D101&lt;&gt;"",Transações!D101,"")</f>
        <v/>
      </c>
      <c r="E101" s="16" t="str">
        <f aca="false">IF(Transações!E101&lt;&gt;"",Transações!E101,"")</f>
        <v/>
      </c>
      <c r="F101" s="7" t="str">
        <f aca="false">IF(C101="Compra",D101*E101,IF(C101="Staking",D101*E101,""))</f>
        <v/>
      </c>
      <c r="G101" s="7" t="str">
        <f aca="false">IF(C101="Venda",IF(COUNTIF(A$3:A100,A101)&gt;0,(E101-SUMPRODUCT((A$3:A100=A101)*(C$3:C100="Compra")*F$3:F100)/IF(SUMPRODUCT((A$3:A100=A101)*(C$3:C100="Compra")*D$3:D100)=0,1,SUMPRODUCT((A$3:A100=A101)*(C$3:C100="Compra")*D$3:D100)))*D101,0),"")</f>
        <v/>
      </c>
      <c r="H101" s="7" t="str">
        <f aca="false">IF(C101="Venda",E101*D101,"")</f>
        <v/>
      </c>
    </row>
    <row r="102" customFormat="false" ht="15" hidden="false" customHeight="false" outlineLevel="0" collapsed="false">
      <c r="A102" s="17" t="str">
        <f aca="false">IF(Transações!C102&lt;&gt;"",Transações!C102,"")</f>
        <v/>
      </c>
      <c r="B102" s="17" t="str">
        <f aca="false">IF(Transações!A102&lt;&gt;"",Transações!A102,"")</f>
        <v/>
      </c>
      <c r="C102" s="17" t="str">
        <f aca="false">IF(Transações!B102&lt;&gt;"",Transações!B102,"")</f>
        <v/>
      </c>
      <c r="D102" s="18" t="str">
        <f aca="false">IF(Transações!D102&lt;&gt;"",Transações!D102,"")</f>
        <v/>
      </c>
      <c r="E102" s="19" t="str">
        <f aca="false">IF(Transações!E102&lt;&gt;"",Transações!E102,"")</f>
        <v/>
      </c>
      <c r="F102" s="12" t="str">
        <f aca="false">IF(C102="Compra",D102*E102,IF(C102="Staking",D102*E102,""))</f>
        <v/>
      </c>
      <c r="G102" s="12" t="str">
        <f aca="false">IF(C102="Venda",IF(COUNTIF(A$3:A101,A102)&gt;0,(E102-SUMPRODUCT((A$3:A101=A102)*(C$3:C101="Compra")*F$3:F101)/IF(SUMPRODUCT((A$3:A101=A102)*(C$3:C101="Compra")*D$3:D101)=0,1,SUMPRODUCT((A$3:A101=A102)*(C$3:C101="Compra")*D$3:D101)))*D102,0),"")</f>
        <v/>
      </c>
      <c r="H102" s="12" t="str">
        <f aca="false">IF(C102="Venda",E102*D102,"")</f>
        <v/>
      </c>
    </row>
    <row r="103" customFormat="false" ht="15" hidden="false" customHeight="false" outlineLevel="0" collapsed="false">
      <c r="A103" s="14" t="str">
        <f aca="false">IF(Transações!C103&lt;&gt;"",Transações!C103,"")</f>
        <v/>
      </c>
      <c r="B103" s="14" t="str">
        <f aca="false">IF(Transações!A103&lt;&gt;"",Transações!A103,"")</f>
        <v/>
      </c>
      <c r="C103" s="14" t="str">
        <f aca="false">IF(Transações!B103&lt;&gt;"",Transações!B103,"")</f>
        <v/>
      </c>
      <c r="D103" s="15" t="str">
        <f aca="false">IF(Transações!D103&lt;&gt;"",Transações!D103,"")</f>
        <v/>
      </c>
      <c r="E103" s="16" t="str">
        <f aca="false">IF(Transações!E103&lt;&gt;"",Transações!E103,"")</f>
        <v/>
      </c>
      <c r="F103" s="7" t="str">
        <f aca="false">IF(C103="Compra",D103*E103,IF(C103="Staking",D103*E103,""))</f>
        <v/>
      </c>
      <c r="G103" s="7" t="str">
        <f aca="false">IF(C103="Venda",IF(COUNTIF(A$3:A102,A103)&gt;0,(E103-SUMPRODUCT((A$3:A102=A103)*(C$3:C102="Compra")*F$3:F102)/IF(SUMPRODUCT((A$3:A102=A103)*(C$3:C102="Compra")*D$3:D102)=0,1,SUMPRODUCT((A$3:A102=A103)*(C$3:C102="Compra")*D$3:D102)))*D103,0),"")</f>
        <v/>
      </c>
      <c r="H103" s="7" t="str">
        <f aca="false">IF(C103="Venda",E103*D103,"")</f>
        <v/>
      </c>
    </row>
    <row r="104" customFormat="false" ht="15" hidden="false" customHeight="false" outlineLevel="0" collapsed="false">
      <c r="A104" s="17" t="str">
        <f aca="false">IF(Transações!C104&lt;&gt;"",Transações!C104,"")</f>
        <v/>
      </c>
      <c r="B104" s="17" t="str">
        <f aca="false">IF(Transações!A104&lt;&gt;"",Transações!A104,"")</f>
        <v/>
      </c>
      <c r="C104" s="17" t="str">
        <f aca="false">IF(Transações!B104&lt;&gt;"",Transações!B104,"")</f>
        <v/>
      </c>
      <c r="D104" s="18" t="str">
        <f aca="false">IF(Transações!D104&lt;&gt;"",Transações!D104,"")</f>
        <v/>
      </c>
      <c r="E104" s="19" t="str">
        <f aca="false">IF(Transações!E104&lt;&gt;"",Transações!E104,"")</f>
        <v/>
      </c>
      <c r="F104" s="12" t="str">
        <f aca="false">IF(C104="Compra",D104*E104,IF(C104="Staking",D104*E104,""))</f>
        <v/>
      </c>
      <c r="G104" s="12" t="str">
        <f aca="false">IF(C104="Venda",IF(COUNTIF(A$3:A103,A104)&gt;0,(E104-SUMPRODUCT((A$3:A103=A104)*(C$3:C103="Compra")*F$3:F103)/IF(SUMPRODUCT((A$3:A103=A104)*(C$3:C103="Compra")*D$3:D103)=0,1,SUMPRODUCT((A$3:A103=A104)*(C$3:C103="Compra")*D$3:D103)))*D104,0),"")</f>
        <v/>
      </c>
      <c r="H104" s="12" t="str">
        <f aca="false">IF(C104="Venda",E104*D104,"")</f>
        <v/>
      </c>
    </row>
    <row r="105" customFormat="false" ht="15" hidden="false" customHeight="false" outlineLevel="0" collapsed="false">
      <c r="A105" s="14" t="str">
        <f aca="false">IF(Transações!C105&lt;&gt;"",Transações!C105,"")</f>
        <v/>
      </c>
      <c r="B105" s="14" t="str">
        <f aca="false">IF(Transações!A105&lt;&gt;"",Transações!A105,"")</f>
        <v/>
      </c>
      <c r="C105" s="14" t="str">
        <f aca="false">IF(Transações!B105&lt;&gt;"",Transações!B105,"")</f>
        <v/>
      </c>
      <c r="D105" s="15" t="str">
        <f aca="false">IF(Transações!D105&lt;&gt;"",Transações!D105,"")</f>
        <v/>
      </c>
      <c r="E105" s="16" t="str">
        <f aca="false">IF(Transações!E105&lt;&gt;"",Transações!E105,"")</f>
        <v/>
      </c>
      <c r="F105" s="7" t="str">
        <f aca="false">IF(C105="Compra",D105*E105,IF(C105="Staking",D105*E105,""))</f>
        <v/>
      </c>
      <c r="G105" s="7" t="str">
        <f aca="false">IF(C105="Venda",IF(COUNTIF(A$3:A104,A105)&gt;0,(E105-SUMPRODUCT((A$3:A104=A105)*(C$3:C104="Compra")*F$3:F104)/IF(SUMPRODUCT((A$3:A104=A105)*(C$3:C104="Compra")*D$3:D104)=0,1,SUMPRODUCT((A$3:A104=A105)*(C$3:C104="Compra")*D$3:D104)))*D105,0),"")</f>
        <v/>
      </c>
      <c r="H105" s="7" t="str">
        <f aca="false">IF(C105="Venda",E105*D105,"")</f>
        <v/>
      </c>
    </row>
    <row r="106" customFormat="false" ht="15" hidden="false" customHeight="false" outlineLevel="0" collapsed="false">
      <c r="A106" s="17" t="str">
        <f aca="false">IF(Transações!C106&lt;&gt;"",Transações!C106,"")</f>
        <v/>
      </c>
      <c r="B106" s="17" t="str">
        <f aca="false">IF(Transações!A106&lt;&gt;"",Transações!A106,"")</f>
        <v/>
      </c>
      <c r="C106" s="17" t="str">
        <f aca="false">IF(Transações!B106&lt;&gt;"",Transações!B106,"")</f>
        <v/>
      </c>
      <c r="D106" s="18" t="str">
        <f aca="false">IF(Transações!D106&lt;&gt;"",Transações!D106,"")</f>
        <v/>
      </c>
      <c r="E106" s="19" t="str">
        <f aca="false">IF(Transações!E106&lt;&gt;"",Transações!E106,"")</f>
        <v/>
      </c>
      <c r="F106" s="12" t="str">
        <f aca="false">IF(C106="Compra",D106*E106,IF(C106="Staking",D106*E106,""))</f>
        <v/>
      </c>
      <c r="G106" s="12" t="str">
        <f aca="false">IF(C106="Venda",IF(COUNTIF(A$3:A105,A106)&gt;0,(E106-SUMPRODUCT((A$3:A105=A106)*(C$3:C105="Compra")*F$3:F105)/IF(SUMPRODUCT((A$3:A105=A106)*(C$3:C105="Compra")*D$3:D105)=0,1,SUMPRODUCT((A$3:A105=A106)*(C$3:C105="Compra")*D$3:D105)))*D106,0),"")</f>
        <v/>
      </c>
      <c r="H106" s="12" t="str">
        <f aca="false">IF(C106="Venda",E106*D106,"")</f>
        <v/>
      </c>
    </row>
    <row r="107" customFormat="false" ht="15" hidden="false" customHeight="false" outlineLevel="0" collapsed="false">
      <c r="A107" s="14" t="str">
        <f aca="false">IF(Transações!C107&lt;&gt;"",Transações!C107,"")</f>
        <v/>
      </c>
      <c r="B107" s="14" t="str">
        <f aca="false">IF(Transações!A107&lt;&gt;"",Transações!A107,"")</f>
        <v/>
      </c>
      <c r="C107" s="14" t="str">
        <f aca="false">IF(Transações!B107&lt;&gt;"",Transações!B107,"")</f>
        <v/>
      </c>
      <c r="D107" s="15" t="str">
        <f aca="false">IF(Transações!D107&lt;&gt;"",Transações!D107,"")</f>
        <v/>
      </c>
      <c r="E107" s="16" t="str">
        <f aca="false">IF(Transações!E107&lt;&gt;"",Transações!E107,"")</f>
        <v/>
      </c>
      <c r="F107" s="7" t="str">
        <f aca="false">IF(C107="Compra",D107*E107,IF(C107="Staking",D107*E107,""))</f>
        <v/>
      </c>
      <c r="G107" s="7" t="str">
        <f aca="false">IF(C107="Venda",IF(COUNTIF(A$3:A106,A107)&gt;0,(E107-SUMPRODUCT((A$3:A106=A107)*(C$3:C106="Compra")*F$3:F106)/IF(SUMPRODUCT((A$3:A106=A107)*(C$3:C106="Compra")*D$3:D106)=0,1,SUMPRODUCT((A$3:A106=A107)*(C$3:C106="Compra")*D$3:D106)))*D107,0),"")</f>
        <v/>
      </c>
      <c r="H107" s="7" t="str">
        <f aca="false">IF(C107="Venda",E107*D107,"")</f>
        <v/>
      </c>
    </row>
    <row r="108" customFormat="false" ht="15" hidden="false" customHeight="false" outlineLevel="0" collapsed="false">
      <c r="A108" s="17" t="str">
        <f aca="false">IF(Transações!C108&lt;&gt;"",Transações!C108,"")</f>
        <v/>
      </c>
      <c r="B108" s="17" t="str">
        <f aca="false">IF(Transações!A108&lt;&gt;"",Transações!A108,"")</f>
        <v/>
      </c>
      <c r="C108" s="17" t="str">
        <f aca="false">IF(Transações!B108&lt;&gt;"",Transações!B108,"")</f>
        <v/>
      </c>
      <c r="D108" s="18" t="str">
        <f aca="false">IF(Transações!D108&lt;&gt;"",Transações!D108,"")</f>
        <v/>
      </c>
      <c r="E108" s="19" t="str">
        <f aca="false">IF(Transações!E108&lt;&gt;"",Transações!E108,"")</f>
        <v/>
      </c>
      <c r="F108" s="12" t="str">
        <f aca="false">IF(C108="Compra",D108*E108,IF(C108="Staking",D108*E108,""))</f>
        <v/>
      </c>
      <c r="G108" s="12" t="str">
        <f aca="false">IF(C108="Venda",IF(COUNTIF(A$3:A107,A108)&gt;0,(E108-SUMPRODUCT((A$3:A107=A108)*(C$3:C107="Compra")*F$3:F107)/IF(SUMPRODUCT((A$3:A107=A108)*(C$3:C107="Compra")*D$3:D107)=0,1,SUMPRODUCT((A$3:A107=A108)*(C$3:C107="Compra")*D$3:D107)))*D108,0),"")</f>
        <v/>
      </c>
      <c r="H108" s="12" t="str">
        <f aca="false">IF(C108="Venda",E108*D108,"")</f>
        <v/>
      </c>
    </row>
    <row r="109" customFormat="false" ht="15" hidden="false" customHeight="false" outlineLevel="0" collapsed="false">
      <c r="A109" s="14" t="str">
        <f aca="false">IF(Transações!C109&lt;&gt;"",Transações!C109,"")</f>
        <v/>
      </c>
      <c r="B109" s="14" t="str">
        <f aca="false">IF(Transações!A109&lt;&gt;"",Transações!A109,"")</f>
        <v/>
      </c>
      <c r="C109" s="14" t="str">
        <f aca="false">IF(Transações!B109&lt;&gt;"",Transações!B109,"")</f>
        <v/>
      </c>
      <c r="D109" s="15" t="str">
        <f aca="false">IF(Transações!D109&lt;&gt;"",Transações!D109,"")</f>
        <v/>
      </c>
      <c r="E109" s="16" t="str">
        <f aca="false">IF(Transações!E109&lt;&gt;"",Transações!E109,"")</f>
        <v/>
      </c>
      <c r="F109" s="7" t="str">
        <f aca="false">IF(C109="Compra",D109*E109,IF(C109="Staking",D109*E109,""))</f>
        <v/>
      </c>
      <c r="G109" s="7" t="str">
        <f aca="false">IF(C109="Venda",IF(COUNTIF(A$3:A108,A109)&gt;0,(E109-SUMPRODUCT((A$3:A108=A109)*(C$3:C108="Compra")*F$3:F108)/IF(SUMPRODUCT((A$3:A108=A109)*(C$3:C108="Compra")*D$3:D108)=0,1,SUMPRODUCT((A$3:A108=A109)*(C$3:C108="Compra")*D$3:D108)))*D109,0),"")</f>
        <v/>
      </c>
      <c r="H109" s="7" t="str">
        <f aca="false">IF(C109="Venda",E109*D109,"")</f>
        <v/>
      </c>
    </row>
    <row r="110" customFormat="false" ht="15" hidden="false" customHeight="false" outlineLevel="0" collapsed="false">
      <c r="A110" s="17" t="str">
        <f aca="false">IF(Transações!C110&lt;&gt;"",Transações!C110,"")</f>
        <v/>
      </c>
      <c r="B110" s="17" t="str">
        <f aca="false">IF(Transações!A110&lt;&gt;"",Transações!A110,"")</f>
        <v/>
      </c>
      <c r="C110" s="17" t="str">
        <f aca="false">IF(Transações!B110&lt;&gt;"",Transações!B110,"")</f>
        <v/>
      </c>
      <c r="D110" s="18" t="str">
        <f aca="false">IF(Transações!D110&lt;&gt;"",Transações!D110,"")</f>
        <v/>
      </c>
      <c r="E110" s="19" t="str">
        <f aca="false">IF(Transações!E110&lt;&gt;"",Transações!E110,"")</f>
        <v/>
      </c>
      <c r="F110" s="12" t="str">
        <f aca="false">IF(C110="Compra",D110*E110,IF(C110="Staking",D110*E110,""))</f>
        <v/>
      </c>
      <c r="G110" s="12" t="str">
        <f aca="false">IF(C110="Venda",IF(COUNTIF(A$3:A109,A110)&gt;0,(E110-SUMPRODUCT((A$3:A109=A110)*(C$3:C109="Compra")*F$3:F109)/IF(SUMPRODUCT((A$3:A109=A110)*(C$3:C109="Compra")*D$3:D109)=0,1,SUMPRODUCT((A$3:A109=A110)*(C$3:C109="Compra")*D$3:D109)))*D110,0),"")</f>
        <v/>
      </c>
      <c r="H110" s="12" t="str">
        <f aca="false">IF(C110="Venda",E110*D110,"")</f>
        <v/>
      </c>
    </row>
    <row r="111" customFormat="false" ht="15" hidden="false" customHeight="false" outlineLevel="0" collapsed="false">
      <c r="A111" s="14" t="str">
        <f aca="false">IF(Transações!C111&lt;&gt;"",Transações!C111,"")</f>
        <v/>
      </c>
      <c r="B111" s="14" t="str">
        <f aca="false">IF(Transações!A111&lt;&gt;"",Transações!A111,"")</f>
        <v/>
      </c>
      <c r="C111" s="14" t="str">
        <f aca="false">IF(Transações!B111&lt;&gt;"",Transações!B111,"")</f>
        <v/>
      </c>
      <c r="D111" s="15" t="str">
        <f aca="false">IF(Transações!D111&lt;&gt;"",Transações!D111,"")</f>
        <v/>
      </c>
      <c r="E111" s="16" t="str">
        <f aca="false">IF(Transações!E111&lt;&gt;"",Transações!E111,"")</f>
        <v/>
      </c>
      <c r="F111" s="7" t="str">
        <f aca="false">IF(C111="Compra",D111*E111,IF(C111="Staking",D111*E111,""))</f>
        <v/>
      </c>
      <c r="G111" s="7" t="str">
        <f aca="false">IF(C111="Venda",IF(COUNTIF(A$3:A110,A111)&gt;0,(E111-SUMPRODUCT((A$3:A110=A111)*(C$3:C110="Compra")*F$3:F110)/IF(SUMPRODUCT((A$3:A110=A111)*(C$3:C110="Compra")*D$3:D110)=0,1,SUMPRODUCT((A$3:A110=A111)*(C$3:C110="Compra")*D$3:D110)))*D111,0),"")</f>
        <v/>
      </c>
      <c r="H111" s="7" t="str">
        <f aca="false">IF(C111="Venda",E111*D111,"")</f>
        <v/>
      </c>
    </row>
    <row r="112" customFormat="false" ht="15" hidden="false" customHeight="false" outlineLevel="0" collapsed="false">
      <c r="A112" s="17" t="str">
        <f aca="false">IF(Transações!C112&lt;&gt;"",Transações!C112,"")</f>
        <v/>
      </c>
      <c r="B112" s="17" t="str">
        <f aca="false">IF(Transações!A112&lt;&gt;"",Transações!A112,"")</f>
        <v/>
      </c>
      <c r="C112" s="17" t="str">
        <f aca="false">IF(Transações!B112&lt;&gt;"",Transações!B112,"")</f>
        <v/>
      </c>
      <c r="D112" s="18" t="str">
        <f aca="false">IF(Transações!D112&lt;&gt;"",Transações!D112,"")</f>
        <v/>
      </c>
      <c r="E112" s="19" t="str">
        <f aca="false">IF(Transações!E112&lt;&gt;"",Transações!E112,"")</f>
        <v/>
      </c>
      <c r="F112" s="12" t="str">
        <f aca="false">IF(C112="Compra",D112*E112,IF(C112="Staking",D112*E112,""))</f>
        <v/>
      </c>
      <c r="G112" s="12" t="str">
        <f aca="false">IF(C112="Venda",IF(COUNTIF(A$3:A111,A112)&gt;0,(E112-SUMPRODUCT((A$3:A111=A112)*(C$3:C111="Compra")*F$3:F111)/IF(SUMPRODUCT((A$3:A111=A112)*(C$3:C111="Compra")*D$3:D111)=0,1,SUMPRODUCT((A$3:A111=A112)*(C$3:C111="Compra")*D$3:D111)))*D112,0),"")</f>
        <v/>
      </c>
      <c r="H112" s="12" t="str">
        <f aca="false">IF(C112="Venda",E112*D112,"")</f>
        <v/>
      </c>
    </row>
    <row r="113" customFormat="false" ht="15" hidden="false" customHeight="false" outlineLevel="0" collapsed="false">
      <c r="A113" s="14" t="str">
        <f aca="false">IF(Transações!C113&lt;&gt;"",Transações!C113,"")</f>
        <v/>
      </c>
      <c r="B113" s="14" t="str">
        <f aca="false">IF(Transações!A113&lt;&gt;"",Transações!A113,"")</f>
        <v/>
      </c>
      <c r="C113" s="14" t="str">
        <f aca="false">IF(Transações!B113&lt;&gt;"",Transações!B113,"")</f>
        <v/>
      </c>
      <c r="D113" s="15" t="str">
        <f aca="false">IF(Transações!D113&lt;&gt;"",Transações!D113,"")</f>
        <v/>
      </c>
      <c r="E113" s="16" t="str">
        <f aca="false">IF(Transações!E113&lt;&gt;"",Transações!E113,"")</f>
        <v/>
      </c>
      <c r="F113" s="7" t="str">
        <f aca="false">IF(C113="Compra",D113*E113,IF(C113="Staking",D113*E113,""))</f>
        <v/>
      </c>
      <c r="G113" s="7" t="str">
        <f aca="false">IF(C113="Venda",IF(COUNTIF(A$3:A112,A113)&gt;0,(E113-SUMPRODUCT((A$3:A112=A113)*(C$3:C112="Compra")*F$3:F112)/IF(SUMPRODUCT((A$3:A112=A113)*(C$3:C112="Compra")*D$3:D112)=0,1,SUMPRODUCT((A$3:A112=A113)*(C$3:C112="Compra")*D$3:D112)))*D113,0),"")</f>
        <v/>
      </c>
      <c r="H113" s="7" t="str">
        <f aca="false">IF(C113="Venda",E113*D113,"")</f>
        <v/>
      </c>
    </row>
    <row r="114" customFormat="false" ht="15" hidden="false" customHeight="false" outlineLevel="0" collapsed="false">
      <c r="A114" s="17" t="str">
        <f aca="false">IF(Transações!C114&lt;&gt;"",Transações!C114,"")</f>
        <v/>
      </c>
      <c r="B114" s="17" t="str">
        <f aca="false">IF(Transações!A114&lt;&gt;"",Transações!A114,"")</f>
        <v/>
      </c>
      <c r="C114" s="17" t="str">
        <f aca="false">IF(Transações!B114&lt;&gt;"",Transações!B114,"")</f>
        <v/>
      </c>
      <c r="D114" s="18" t="str">
        <f aca="false">IF(Transações!D114&lt;&gt;"",Transações!D114,"")</f>
        <v/>
      </c>
      <c r="E114" s="19" t="str">
        <f aca="false">IF(Transações!E114&lt;&gt;"",Transações!E114,"")</f>
        <v/>
      </c>
      <c r="F114" s="12" t="str">
        <f aca="false">IF(C114="Compra",D114*E114,IF(C114="Staking",D114*E114,""))</f>
        <v/>
      </c>
      <c r="G114" s="12" t="str">
        <f aca="false">IF(C114="Venda",IF(COUNTIF(A$3:A113,A114)&gt;0,(E114-SUMPRODUCT((A$3:A113=A114)*(C$3:C113="Compra")*F$3:F113)/IF(SUMPRODUCT((A$3:A113=A114)*(C$3:C113="Compra")*D$3:D113)=0,1,SUMPRODUCT((A$3:A113=A114)*(C$3:C113="Compra")*D$3:D113)))*D114,0),"")</f>
        <v/>
      </c>
      <c r="H114" s="12" t="str">
        <f aca="false">IF(C114="Venda",E114*D114,"")</f>
        <v/>
      </c>
    </row>
    <row r="115" customFormat="false" ht="15" hidden="false" customHeight="false" outlineLevel="0" collapsed="false">
      <c r="A115" s="14" t="str">
        <f aca="false">IF(Transações!C115&lt;&gt;"",Transações!C115,"")</f>
        <v/>
      </c>
      <c r="B115" s="14" t="str">
        <f aca="false">IF(Transações!A115&lt;&gt;"",Transações!A115,"")</f>
        <v/>
      </c>
      <c r="C115" s="14" t="str">
        <f aca="false">IF(Transações!B115&lt;&gt;"",Transações!B115,"")</f>
        <v/>
      </c>
      <c r="D115" s="15" t="str">
        <f aca="false">IF(Transações!D115&lt;&gt;"",Transações!D115,"")</f>
        <v/>
      </c>
      <c r="E115" s="16" t="str">
        <f aca="false">IF(Transações!E115&lt;&gt;"",Transações!E115,"")</f>
        <v/>
      </c>
      <c r="F115" s="7" t="str">
        <f aca="false">IF(C115="Compra",D115*E115,IF(C115="Staking",D115*E115,""))</f>
        <v/>
      </c>
      <c r="G115" s="7" t="str">
        <f aca="false">IF(C115="Venda",IF(COUNTIF(A$3:A114,A115)&gt;0,(E115-SUMPRODUCT((A$3:A114=A115)*(C$3:C114="Compra")*F$3:F114)/IF(SUMPRODUCT((A$3:A114=A115)*(C$3:C114="Compra")*D$3:D114)=0,1,SUMPRODUCT((A$3:A114=A115)*(C$3:C114="Compra")*D$3:D114)))*D115,0),"")</f>
        <v/>
      </c>
      <c r="H115" s="7" t="str">
        <f aca="false">IF(C115="Venda",E115*D115,"")</f>
        <v/>
      </c>
    </row>
    <row r="116" customFormat="false" ht="15" hidden="false" customHeight="false" outlineLevel="0" collapsed="false">
      <c r="A116" s="17" t="str">
        <f aca="false">IF(Transações!C116&lt;&gt;"",Transações!C116,"")</f>
        <v/>
      </c>
      <c r="B116" s="17" t="str">
        <f aca="false">IF(Transações!A116&lt;&gt;"",Transações!A116,"")</f>
        <v/>
      </c>
      <c r="C116" s="17" t="str">
        <f aca="false">IF(Transações!B116&lt;&gt;"",Transações!B116,"")</f>
        <v/>
      </c>
      <c r="D116" s="18" t="str">
        <f aca="false">IF(Transações!D116&lt;&gt;"",Transações!D116,"")</f>
        <v/>
      </c>
      <c r="E116" s="19" t="str">
        <f aca="false">IF(Transações!E116&lt;&gt;"",Transações!E116,"")</f>
        <v/>
      </c>
      <c r="F116" s="12" t="str">
        <f aca="false">IF(C116="Compra",D116*E116,IF(C116="Staking",D116*E116,""))</f>
        <v/>
      </c>
      <c r="G116" s="12" t="str">
        <f aca="false">IF(C116="Venda",IF(COUNTIF(A$3:A115,A116)&gt;0,(E116-SUMPRODUCT((A$3:A115=A116)*(C$3:C115="Compra")*F$3:F115)/IF(SUMPRODUCT((A$3:A115=A116)*(C$3:C115="Compra")*D$3:D115)=0,1,SUMPRODUCT((A$3:A115=A116)*(C$3:C115="Compra")*D$3:D115)))*D116,0),"")</f>
        <v/>
      </c>
      <c r="H116" s="12" t="str">
        <f aca="false">IF(C116="Venda",E116*D116,"")</f>
        <v/>
      </c>
    </row>
    <row r="117" customFormat="false" ht="15" hidden="false" customHeight="false" outlineLevel="0" collapsed="false">
      <c r="A117" s="14" t="str">
        <f aca="false">IF(Transações!C117&lt;&gt;"",Transações!C117,"")</f>
        <v/>
      </c>
      <c r="B117" s="14" t="str">
        <f aca="false">IF(Transações!A117&lt;&gt;"",Transações!A117,"")</f>
        <v/>
      </c>
      <c r="C117" s="14" t="str">
        <f aca="false">IF(Transações!B117&lt;&gt;"",Transações!B117,"")</f>
        <v/>
      </c>
      <c r="D117" s="15" t="str">
        <f aca="false">IF(Transações!D117&lt;&gt;"",Transações!D117,"")</f>
        <v/>
      </c>
      <c r="E117" s="16" t="str">
        <f aca="false">IF(Transações!E117&lt;&gt;"",Transações!E117,"")</f>
        <v/>
      </c>
      <c r="F117" s="7" t="str">
        <f aca="false">IF(C117="Compra",D117*E117,IF(C117="Staking",D117*E117,""))</f>
        <v/>
      </c>
      <c r="G117" s="7" t="str">
        <f aca="false">IF(C117="Venda",IF(COUNTIF(A$3:A116,A117)&gt;0,(E117-SUMPRODUCT((A$3:A116=A117)*(C$3:C116="Compra")*F$3:F116)/IF(SUMPRODUCT((A$3:A116=A117)*(C$3:C116="Compra")*D$3:D116)=0,1,SUMPRODUCT((A$3:A116=A117)*(C$3:C116="Compra")*D$3:D116)))*D117,0),"")</f>
        <v/>
      </c>
      <c r="H117" s="7" t="str">
        <f aca="false">IF(C117="Venda",E117*D117,"")</f>
        <v/>
      </c>
    </row>
    <row r="118" customFormat="false" ht="15" hidden="false" customHeight="false" outlineLevel="0" collapsed="false">
      <c r="A118" s="17" t="str">
        <f aca="false">IF(Transações!C118&lt;&gt;"",Transações!C118,"")</f>
        <v/>
      </c>
      <c r="B118" s="17" t="str">
        <f aca="false">IF(Transações!A118&lt;&gt;"",Transações!A118,"")</f>
        <v/>
      </c>
      <c r="C118" s="17" t="str">
        <f aca="false">IF(Transações!B118&lt;&gt;"",Transações!B118,"")</f>
        <v/>
      </c>
      <c r="D118" s="18" t="str">
        <f aca="false">IF(Transações!D118&lt;&gt;"",Transações!D118,"")</f>
        <v/>
      </c>
      <c r="E118" s="19" t="str">
        <f aca="false">IF(Transações!E118&lt;&gt;"",Transações!E118,"")</f>
        <v/>
      </c>
      <c r="F118" s="12" t="str">
        <f aca="false">IF(C118="Compra",D118*E118,IF(C118="Staking",D118*E118,""))</f>
        <v/>
      </c>
      <c r="G118" s="12" t="str">
        <f aca="false">IF(C118="Venda",IF(COUNTIF(A$3:A117,A118)&gt;0,(E118-SUMPRODUCT((A$3:A117=A118)*(C$3:C117="Compra")*F$3:F117)/IF(SUMPRODUCT((A$3:A117=A118)*(C$3:C117="Compra")*D$3:D117)=0,1,SUMPRODUCT((A$3:A117=A118)*(C$3:C117="Compra")*D$3:D117)))*D118,0),"")</f>
        <v/>
      </c>
      <c r="H118" s="12" t="str">
        <f aca="false">IF(C118="Venda",E118*D118,"")</f>
        <v/>
      </c>
    </row>
    <row r="119" customFormat="false" ht="15" hidden="false" customHeight="false" outlineLevel="0" collapsed="false">
      <c r="A119" s="14" t="str">
        <f aca="false">IF(Transações!C119&lt;&gt;"",Transações!C119,"")</f>
        <v/>
      </c>
      <c r="B119" s="14" t="str">
        <f aca="false">IF(Transações!A119&lt;&gt;"",Transações!A119,"")</f>
        <v/>
      </c>
      <c r="C119" s="14" t="str">
        <f aca="false">IF(Transações!B119&lt;&gt;"",Transações!B119,"")</f>
        <v/>
      </c>
      <c r="D119" s="15" t="str">
        <f aca="false">IF(Transações!D119&lt;&gt;"",Transações!D119,"")</f>
        <v/>
      </c>
      <c r="E119" s="16" t="str">
        <f aca="false">IF(Transações!E119&lt;&gt;"",Transações!E119,"")</f>
        <v/>
      </c>
      <c r="F119" s="7" t="str">
        <f aca="false">IF(C119="Compra",D119*E119,IF(C119="Staking",D119*E119,""))</f>
        <v/>
      </c>
      <c r="G119" s="7" t="str">
        <f aca="false">IF(C119="Venda",IF(COUNTIF(A$3:A118,A119)&gt;0,(E119-SUMPRODUCT((A$3:A118=A119)*(C$3:C118="Compra")*F$3:F118)/IF(SUMPRODUCT((A$3:A118=A119)*(C$3:C118="Compra")*D$3:D118)=0,1,SUMPRODUCT((A$3:A118=A119)*(C$3:C118="Compra")*D$3:D118)))*D119,0),"")</f>
        <v/>
      </c>
      <c r="H119" s="7" t="str">
        <f aca="false">IF(C119="Venda",E119*D119,"")</f>
        <v/>
      </c>
    </row>
    <row r="120" customFormat="false" ht="15" hidden="false" customHeight="false" outlineLevel="0" collapsed="false">
      <c r="A120" s="17" t="str">
        <f aca="false">IF(Transações!C120&lt;&gt;"",Transações!C120,"")</f>
        <v/>
      </c>
      <c r="B120" s="17" t="str">
        <f aca="false">IF(Transações!A120&lt;&gt;"",Transações!A120,"")</f>
        <v/>
      </c>
      <c r="C120" s="17" t="str">
        <f aca="false">IF(Transações!B120&lt;&gt;"",Transações!B120,"")</f>
        <v/>
      </c>
      <c r="D120" s="18" t="str">
        <f aca="false">IF(Transações!D120&lt;&gt;"",Transações!D120,"")</f>
        <v/>
      </c>
      <c r="E120" s="19" t="str">
        <f aca="false">IF(Transações!E120&lt;&gt;"",Transações!E120,"")</f>
        <v/>
      </c>
      <c r="F120" s="12" t="str">
        <f aca="false">IF(C120="Compra",D120*E120,IF(C120="Staking",D120*E120,""))</f>
        <v/>
      </c>
      <c r="G120" s="12" t="str">
        <f aca="false">IF(C120="Venda",IF(COUNTIF(A$3:A119,A120)&gt;0,(E120-SUMPRODUCT((A$3:A119=A120)*(C$3:C119="Compra")*F$3:F119)/IF(SUMPRODUCT((A$3:A119=A120)*(C$3:C119="Compra")*D$3:D119)=0,1,SUMPRODUCT((A$3:A119=A120)*(C$3:C119="Compra")*D$3:D119)))*D120,0),"")</f>
        <v/>
      </c>
      <c r="H120" s="12" t="str">
        <f aca="false">IF(C120="Venda",E120*D120,"")</f>
        <v/>
      </c>
    </row>
    <row r="121" customFormat="false" ht="15" hidden="false" customHeight="false" outlineLevel="0" collapsed="false">
      <c r="A121" s="14" t="str">
        <f aca="false">IF(Transações!C121&lt;&gt;"",Transações!C121,"")</f>
        <v/>
      </c>
      <c r="B121" s="14" t="str">
        <f aca="false">IF(Transações!A121&lt;&gt;"",Transações!A121,"")</f>
        <v/>
      </c>
      <c r="C121" s="14" t="str">
        <f aca="false">IF(Transações!B121&lt;&gt;"",Transações!B121,"")</f>
        <v/>
      </c>
      <c r="D121" s="15" t="str">
        <f aca="false">IF(Transações!D121&lt;&gt;"",Transações!D121,"")</f>
        <v/>
      </c>
      <c r="E121" s="16" t="str">
        <f aca="false">IF(Transações!E121&lt;&gt;"",Transações!E121,"")</f>
        <v/>
      </c>
      <c r="F121" s="7" t="str">
        <f aca="false">IF(C121="Compra",D121*E121,IF(C121="Staking",D121*E121,""))</f>
        <v/>
      </c>
      <c r="G121" s="7" t="str">
        <f aca="false">IF(C121="Venda",IF(COUNTIF(A$3:A120,A121)&gt;0,(E121-SUMPRODUCT((A$3:A120=A121)*(C$3:C120="Compra")*F$3:F120)/IF(SUMPRODUCT((A$3:A120=A121)*(C$3:C120="Compra")*D$3:D120)=0,1,SUMPRODUCT((A$3:A120=A121)*(C$3:C120="Compra")*D$3:D120)))*D121,0),"")</f>
        <v/>
      </c>
      <c r="H121" s="7" t="str">
        <f aca="false">IF(C121="Venda",E121*D121,"")</f>
        <v/>
      </c>
    </row>
    <row r="122" customFormat="false" ht="15" hidden="false" customHeight="false" outlineLevel="0" collapsed="false">
      <c r="A122" s="17" t="str">
        <f aca="false">IF(Transações!C122&lt;&gt;"",Transações!C122,"")</f>
        <v/>
      </c>
      <c r="B122" s="17" t="str">
        <f aca="false">IF(Transações!A122&lt;&gt;"",Transações!A122,"")</f>
        <v/>
      </c>
      <c r="C122" s="17" t="str">
        <f aca="false">IF(Transações!B122&lt;&gt;"",Transações!B122,"")</f>
        <v/>
      </c>
      <c r="D122" s="18" t="str">
        <f aca="false">IF(Transações!D122&lt;&gt;"",Transações!D122,"")</f>
        <v/>
      </c>
      <c r="E122" s="19" t="str">
        <f aca="false">IF(Transações!E122&lt;&gt;"",Transações!E122,"")</f>
        <v/>
      </c>
      <c r="F122" s="12" t="str">
        <f aca="false">IF(C122="Compra",D122*E122,IF(C122="Staking",D122*E122,""))</f>
        <v/>
      </c>
      <c r="G122" s="12" t="str">
        <f aca="false">IF(C122="Venda",IF(COUNTIF(A$3:A121,A122)&gt;0,(E122-SUMPRODUCT((A$3:A121=A122)*(C$3:C121="Compra")*F$3:F121)/IF(SUMPRODUCT((A$3:A121=A122)*(C$3:C121="Compra")*D$3:D121)=0,1,SUMPRODUCT((A$3:A121=A122)*(C$3:C121="Compra")*D$3:D121)))*D122,0),"")</f>
        <v/>
      </c>
      <c r="H122" s="12" t="str">
        <f aca="false">IF(C122="Venda",E122*D122,"")</f>
        <v/>
      </c>
    </row>
    <row r="123" customFormat="false" ht="15" hidden="false" customHeight="false" outlineLevel="0" collapsed="false">
      <c r="A123" s="14" t="str">
        <f aca="false">IF(Transações!C123&lt;&gt;"",Transações!C123,"")</f>
        <v/>
      </c>
      <c r="B123" s="14" t="str">
        <f aca="false">IF(Transações!A123&lt;&gt;"",Transações!A123,"")</f>
        <v/>
      </c>
      <c r="C123" s="14" t="str">
        <f aca="false">IF(Transações!B123&lt;&gt;"",Transações!B123,"")</f>
        <v/>
      </c>
      <c r="D123" s="15" t="str">
        <f aca="false">IF(Transações!D123&lt;&gt;"",Transações!D123,"")</f>
        <v/>
      </c>
      <c r="E123" s="16" t="str">
        <f aca="false">IF(Transações!E123&lt;&gt;"",Transações!E123,"")</f>
        <v/>
      </c>
      <c r="F123" s="7" t="str">
        <f aca="false">IF(C123="Compra",D123*E123,IF(C123="Staking",D123*E123,""))</f>
        <v/>
      </c>
      <c r="G123" s="7" t="str">
        <f aca="false">IF(C123="Venda",IF(COUNTIF(A$3:A122,A123)&gt;0,(E123-SUMPRODUCT((A$3:A122=A123)*(C$3:C122="Compra")*F$3:F122)/IF(SUMPRODUCT((A$3:A122=A123)*(C$3:C122="Compra")*D$3:D122)=0,1,SUMPRODUCT((A$3:A122=A123)*(C$3:C122="Compra")*D$3:D122)))*D123,0),"")</f>
        <v/>
      </c>
      <c r="H123" s="7" t="str">
        <f aca="false">IF(C123="Venda",E123*D123,"")</f>
        <v/>
      </c>
    </row>
    <row r="124" customFormat="false" ht="15" hidden="false" customHeight="false" outlineLevel="0" collapsed="false">
      <c r="A124" s="17" t="str">
        <f aca="false">IF(Transações!C124&lt;&gt;"",Transações!C124,"")</f>
        <v/>
      </c>
      <c r="B124" s="17" t="str">
        <f aca="false">IF(Transações!A124&lt;&gt;"",Transações!A124,"")</f>
        <v/>
      </c>
      <c r="C124" s="17" t="str">
        <f aca="false">IF(Transações!B124&lt;&gt;"",Transações!B124,"")</f>
        <v/>
      </c>
      <c r="D124" s="18" t="str">
        <f aca="false">IF(Transações!D124&lt;&gt;"",Transações!D124,"")</f>
        <v/>
      </c>
      <c r="E124" s="19" t="str">
        <f aca="false">IF(Transações!E124&lt;&gt;"",Transações!E124,"")</f>
        <v/>
      </c>
      <c r="F124" s="12" t="str">
        <f aca="false">IF(C124="Compra",D124*E124,IF(C124="Staking",D124*E124,""))</f>
        <v/>
      </c>
      <c r="G124" s="12" t="str">
        <f aca="false">IF(C124="Venda",IF(COUNTIF(A$3:A123,A124)&gt;0,(E124-SUMPRODUCT((A$3:A123=A124)*(C$3:C123="Compra")*F$3:F123)/IF(SUMPRODUCT((A$3:A123=A124)*(C$3:C123="Compra")*D$3:D123)=0,1,SUMPRODUCT((A$3:A123=A124)*(C$3:C123="Compra")*D$3:D123)))*D124,0),"")</f>
        <v/>
      </c>
      <c r="H124" s="12" t="str">
        <f aca="false">IF(C124="Venda",E124*D124,"")</f>
        <v/>
      </c>
    </row>
    <row r="125" customFormat="false" ht="15" hidden="false" customHeight="false" outlineLevel="0" collapsed="false">
      <c r="A125" s="14" t="str">
        <f aca="false">IF(Transações!C125&lt;&gt;"",Transações!C125,"")</f>
        <v/>
      </c>
      <c r="B125" s="14" t="str">
        <f aca="false">IF(Transações!A125&lt;&gt;"",Transações!A125,"")</f>
        <v/>
      </c>
      <c r="C125" s="14" t="str">
        <f aca="false">IF(Transações!B125&lt;&gt;"",Transações!B125,"")</f>
        <v/>
      </c>
      <c r="D125" s="15" t="str">
        <f aca="false">IF(Transações!D125&lt;&gt;"",Transações!D125,"")</f>
        <v/>
      </c>
      <c r="E125" s="16" t="str">
        <f aca="false">IF(Transações!E125&lt;&gt;"",Transações!E125,"")</f>
        <v/>
      </c>
      <c r="F125" s="7" t="str">
        <f aca="false">IF(C125="Compra",D125*E125,IF(C125="Staking",D125*E125,""))</f>
        <v/>
      </c>
      <c r="G125" s="7" t="str">
        <f aca="false">IF(C125="Venda",IF(COUNTIF(A$3:A124,A125)&gt;0,(E125-SUMPRODUCT((A$3:A124=A125)*(C$3:C124="Compra")*F$3:F124)/IF(SUMPRODUCT((A$3:A124=A125)*(C$3:C124="Compra")*D$3:D124)=0,1,SUMPRODUCT((A$3:A124=A125)*(C$3:C124="Compra")*D$3:D124)))*D125,0),"")</f>
        <v/>
      </c>
      <c r="H125" s="7" t="str">
        <f aca="false">IF(C125="Venda",E125*D125,"")</f>
        <v/>
      </c>
    </row>
    <row r="126" customFormat="false" ht="15" hidden="false" customHeight="false" outlineLevel="0" collapsed="false">
      <c r="A126" s="17" t="str">
        <f aca="false">IF(Transações!C126&lt;&gt;"",Transações!C126,"")</f>
        <v/>
      </c>
      <c r="B126" s="17" t="str">
        <f aca="false">IF(Transações!A126&lt;&gt;"",Transações!A126,"")</f>
        <v/>
      </c>
      <c r="C126" s="17" t="str">
        <f aca="false">IF(Transações!B126&lt;&gt;"",Transações!B126,"")</f>
        <v/>
      </c>
      <c r="D126" s="18" t="str">
        <f aca="false">IF(Transações!D126&lt;&gt;"",Transações!D126,"")</f>
        <v/>
      </c>
      <c r="E126" s="19" t="str">
        <f aca="false">IF(Transações!E126&lt;&gt;"",Transações!E126,"")</f>
        <v/>
      </c>
      <c r="F126" s="12" t="str">
        <f aca="false">IF(C126="Compra",D126*E126,IF(C126="Staking",D126*E126,""))</f>
        <v/>
      </c>
      <c r="G126" s="12" t="str">
        <f aca="false">IF(C126="Venda",IF(COUNTIF(A$3:A125,A126)&gt;0,(E126-SUMPRODUCT((A$3:A125=A126)*(C$3:C125="Compra")*F$3:F125)/IF(SUMPRODUCT((A$3:A125=A126)*(C$3:C125="Compra")*D$3:D125)=0,1,SUMPRODUCT((A$3:A125=A126)*(C$3:C125="Compra")*D$3:D125)))*D126,0),"")</f>
        <v/>
      </c>
      <c r="H126" s="12" t="str">
        <f aca="false">IF(C126="Venda",E126*D126,"")</f>
        <v/>
      </c>
    </row>
    <row r="127" customFormat="false" ht="15" hidden="false" customHeight="false" outlineLevel="0" collapsed="false">
      <c r="A127" s="14" t="str">
        <f aca="false">IF(Transações!C127&lt;&gt;"",Transações!C127,"")</f>
        <v/>
      </c>
      <c r="B127" s="14" t="str">
        <f aca="false">IF(Transações!A127&lt;&gt;"",Transações!A127,"")</f>
        <v/>
      </c>
      <c r="C127" s="14" t="str">
        <f aca="false">IF(Transações!B127&lt;&gt;"",Transações!B127,"")</f>
        <v/>
      </c>
      <c r="D127" s="15" t="str">
        <f aca="false">IF(Transações!D127&lt;&gt;"",Transações!D127,"")</f>
        <v/>
      </c>
      <c r="E127" s="16" t="str">
        <f aca="false">IF(Transações!E127&lt;&gt;"",Transações!E127,"")</f>
        <v/>
      </c>
      <c r="F127" s="7" t="str">
        <f aca="false">IF(C127="Compra",D127*E127,IF(C127="Staking",D127*E127,""))</f>
        <v/>
      </c>
      <c r="G127" s="7" t="str">
        <f aca="false">IF(C127="Venda",IF(COUNTIF(A$3:A126,A127)&gt;0,(E127-SUMPRODUCT((A$3:A126=A127)*(C$3:C126="Compra")*F$3:F126)/IF(SUMPRODUCT((A$3:A126=A127)*(C$3:C126="Compra")*D$3:D126)=0,1,SUMPRODUCT((A$3:A126=A127)*(C$3:C126="Compra")*D$3:D126)))*D127,0),"")</f>
        <v/>
      </c>
      <c r="H127" s="7" t="str">
        <f aca="false">IF(C127="Venda",E127*D127,"")</f>
        <v/>
      </c>
    </row>
    <row r="128" customFormat="false" ht="15" hidden="false" customHeight="false" outlineLevel="0" collapsed="false">
      <c r="A128" s="17" t="str">
        <f aca="false">IF(Transações!C128&lt;&gt;"",Transações!C128,"")</f>
        <v/>
      </c>
      <c r="B128" s="17" t="str">
        <f aca="false">IF(Transações!A128&lt;&gt;"",Transações!A128,"")</f>
        <v/>
      </c>
      <c r="C128" s="17" t="str">
        <f aca="false">IF(Transações!B128&lt;&gt;"",Transações!B128,"")</f>
        <v/>
      </c>
      <c r="D128" s="18" t="str">
        <f aca="false">IF(Transações!D128&lt;&gt;"",Transações!D128,"")</f>
        <v/>
      </c>
      <c r="E128" s="19" t="str">
        <f aca="false">IF(Transações!E128&lt;&gt;"",Transações!E128,"")</f>
        <v/>
      </c>
      <c r="F128" s="12" t="str">
        <f aca="false">IF(C128="Compra",D128*E128,IF(C128="Staking",D128*E128,""))</f>
        <v/>
      </c>
      <c r="G128" s="12" t="str">
        <f aca="false">IF(C128="Venda",IF(COUNTIF(A$3:A127,A128)&gt;0,(E128-SUMPRODUCT((A$3:A127=A128)*(C$3:C127="Compra")*F$3:F127)/IF(SUMPRODUCT((A$3:A127=A128)*(C$3:C127="Compra")*D$3:D127)=0,1,SUMPRODUCT((A$3:A127=A128)*(C$3:C127="Compra")*D$3:D127)))*D128,0),"")</f>
        <v/>
      </c>
      <c r="H128" s="12" t="str">
        <f aca="false">IF(C128="Venda",E128*D128,"")</f>
        <v/>
      </c>
    </row>
    <row r="129" customFormat="false" ht="15" hidden="false" customHeight="false" outlineLevel="0" collapsed="false">
      <c r="A129" s="14" t="str">
        <f aca="false">IF(Transações!C129&lt;&gt;"",Transações!C129,"")</f>
        <v/>
      </c>
      <c r="B129" s="14" t="str">
        <f aca="false">IF(Transações!A129&lt;&gt;"",Transações!A129,"")</f>
        <v/>
      </c>
      <c r="C129" s="14" t="str">
        <f aca="false">IF(Transações!B129&lt;&gt;"",Transações!B129,"")</f>
        <v/>
      </c>
      <c r="D129" s="15" t="str">
        <f aca="false">IF(Transações!D129&lt;&gt;"",Transações!D129,"")</f>
        <v/>
      </c>
      <c r="E129" s="16" t="str">
        <f aca="false">IF(Transações!E129&lt;&gt;"",Transações!E129,"")</f>
        <v/>
      </c>
      <c r="F129" s="7" t="str">
        <f aca="false">IF(C129="Compra",D129*E129,IF(C129="Staking",D129*E129,""))</f>
        <v/>
      </c>
      <c r="G129" s="7" t="str">
        <f aca="false">IF(C129="Venda",IF(COUNTIF(A$3:A128,A129)&gt;0,(E129-SUMPRODUCT((A$3:A128=A129)*(C$3:C128="Compra")*F$3:F128)/IF(SUMPRODUCT((A$3:A128=A129)*(C$3:C128="Compra")*D$3:D128)=0,1,SUMPRODUCT((A$3:A128=A129)*(C$3:C128="Compra")*D$3:D128)))*D129,0),"")</f>
        <v/>
      </c>
      <c r="H129" s="7" t="str">
        <f aca="false">IF(C129="Venda",E129*D129,"")</f>
        <v/>
      </c>
    </row>
    <row r="130" customFormat="false" ht="15" hidden="false" customHeight="false" outlineLevel="0" collapsed="false">
      <c r="A130" s="17" t="str">
        <f aca="false">IF(Transações!C130&lt;&gt;"",Transações!C130,"")</f>
        <v/>
      </c>
      <c r="B130" s="17" t="str">
        <f aca="false">IF(Transações!A130&lt;&gt;"",Transações!A130,"")</f>
        <v/>
      </c>
      <c r="C130" s="17" t="str">
        <f aca="false">IF(Transações!B130&lt;&gt;"",Transações!B130,"")</f>
        <v/>
      </c>
      <c r="D130" s="18" t="str">
        <f aca="false">IF(Transações!D130&lt;&gt;"",Transações!D130,"")</f>
        <v/>
      </c>
      <c r="E130" s="19" t="str">
        <f aca="false">IF(Transações!E130&lt;&gt;"",Transações!E130,"")</f>
        <v/>
      </c>
      <c r="F130" s="12" t="str">
        <f aca="false">IF(C130="Compra",D130*E130,IF(C130="Staking",D130*E130,""))</f>
        <v/>
      </c>
      <c r="G130" s="12" t="str">
        <f aca="false">IF(C130="Venda",IF(COUNTIF(A$3:A129,A130)&gt;0,(E130-SUMPRODUCT((A$3:A129=A130)*(C$3:C129="Compra")*F$3:F129)/IF(SUMPRODUCT((A$3:A129=A130)*(C$3:C129="Compra")*D$3:D129)=0,1,SUMPRODUCT((A$3:A129=A130)*(C$3:C129="Compra")*D$3:D129)))*D130,0),"")</f>
        <v/>
      </c>
      <c r="H130" s="12" t="str">
        <f aca="false">IF(C130="Venda",E130*D130,"")</f>
        <v/>
      </c>
    </row>
    <row r="131" customFormat="false" ht="15" hidden="false" customHeight="false" outlineLevel="0" collapsed="false">
      <c r="A131" s="14" t="str">
        <f aca="false">IF(Transações!C131&lt;&gt;"",Transações!C131,"")</f>
        <v/>
      </c>
      <c r="B131" s="14" t="str">
        <f aca="false">IF(Transações!A131&lt;&gt;"",Transações!A131,"")</f>
        <v/>
      </c>
      <c r="C131" s="14" t="str">
        <f aca="false">IF(Transações!B131&lt;&gt;"",Transações!B131,"")</f>
        <v/>
      </c>
      <c r="D131" s="15" t="str">
        <f aca="false">IF(Transações!D131&lt;&gt;"",Transações!D131,"")</f>
        <v/>
      </c>
      <c r="E131" s="16" t="str">
        <f aca="false">IF(Transações!E131&lt;&gt;"",Transações!E131,"")</f>
        <v/>
      </c>
      <c r="F131" s="7" t="str">
        <f aca="false">IF(C131="Compra",D131*E131,IF(C131="Staking",D131*E131,""))</f>
        <v/>
      </c>
      <c r="G131" s="7" t="str">
        <f aca="false">IF(C131="Venda",IF(COUNTIF(A$3:A130,A131)&gt;0,(E131-SUMPRODUCT((A$3:A130=A131)*(C$3:C130="Compra")*F$3:F130)/IF(SUMPRODUCT((A$3:A130=A131)*(C$3:C130="Compra")*D$3:D130)=0,1,SUMPRODUCT((A$3:A130=A131)*(C$3:C130="Compra")*D$3:D130)))*D131,0),"")</f>
        <v/>
      </c>
      <c r="H131" s="7" t="str">
        <f aca="false">IF(C131="Venda",E131*D131,"")</f>
        <v/>
      </c>
    </row>
    <row r="132" customFormat="false" ht="15" hidden="false" customHeight="false" outlineLevel="0" collapsed="false">
      <c r="A132" s="17" t="str">
        <f aca="false">IF(Transações!C132&lt;&gt;"",Transações!C132,"")</f>
        <v/>
      </c>
      <c r="B132" s="17" t="str">
        <f aca="false">IF(Transações!A132&lt;&gt;"",Transações!A132,"")</f>
        <v/>
      </c>
      <c r="C132" s="17" t="str">
        <f aca="false">IF(Transações!B132&lt;&gt;"",Transações!B132,"")</f>
        <v/>
      </c>
      <c r="D132" s="18" t="str">
        <f aca="false">IF(Transações!D132&lt;&gt;"",Transações!D132,"")</f>
        <v/>
      </c>
      <c r="E132" s="19" t="str">
        <f aca="false">IF(Transações!E132&lt;&gt;"",Transações!E132,"")</f>
        <v/>
      </c>
      <c r="F132" s="12" t="str">
        <f aca="false">IF(C132="Compra",D132*E132,IF(C132="Staking",D132*E132,""))</f>
        <v/>
      </c>
      <c r="G132" s="12" t="str">
        <f aca="false">IF(C132="Venda",IF(COUNTIF(A$3:A131,A132)&gt;0,(E132-SUMPRODUCT((A$3:A131=A132)*(C$3:C131="Compra")*F$3:F131)/IF(SUMPRODUCT((A$3:A131=A132)*(C$3:C131="Compra")*D$3:D131)=0,1,SUMPRODUCT((A$3:A131=A132)*(C$3:C131="Compra")*D$3:D131)))*D132,0),"")</f>
        <v/>
      </c>
      <c r="H132" s="12" t="str">
        <f aca="false">IF(C132="Venda",E132*D132,"")</f>
        <v/>
      </c>
    </row>
    <row r="133" customFormat="false" ht="15" hidden="false" customHeight="false" outlineLevel="0" collapsed="false">
      <c r="A133" s="14" t="str">
        <f aca="false">IF(Transações!C133&lt;&gt;"",Transações!C133,"")</f>
        <v/>
      </c>
      <c r="B133" s="14" t="str">
        <f aca="false">IF(Transações!A133&lt;&gt;"",Transações!A133,"")</f>
        <v/>
      </c>
      <c r="C133" s="14" t="str">
        <f aca="false">IF(Transações!B133&lt;&gt;"",Transações!B133,"")</f>
        <v/>
      </c>
      <c r="D133" s="15" t="str">
        <f aca="false">IF(Transações!D133&lt;&gt;"",Transações!D133,"")</f>
        <v/>
      </c>
      <c r="E133" s="16" t="str">
        <f aca="false">IF(Transações!E133&lt;&gt;"",Transações!E133,"")</f>
        <v/>
      </c>
      <c r="F133" s="7" t="str">
        <f aca="false">IF(C133="Compra",D133*E133,IF(C133="Staking",D133*E133,""))</f>
        <v/>
      </c>
      <c r="G133" s="7" t="str">
        <f aca="false">IF(C133="Venda",IF(COUNTIF(A$3:A132,A133)&gt;0,(E133-SUMPRODUCT((A$3:A132=A133)*(C$3:C132="Compra")*F$3:F132)/IF(SUMPRODUCT((A$3:A132=A133)*(C$3:C132="Compra")*D$3:D132)=0,1,SUMPRODUCT((A$3:A132=A133)*(C$3:C132="Compra")*D$3:D132)))*D133,0),"")</f>
        <v/>
      </c>
      <c r="H133" s="7" t="str">
        <f aca="false">IF(C133="Venda",E133*D133,"")</f>
        <v/>
      </c>
    </row>
    <row r="134" customFormat="false" ht="15" hidden="false" customHeight="false" outlineLevel="0" collapsed="false">
      <c r="A134" s="17" t="str">
        <f aca="false">IF(Transações!C134&lt;&gt;"",Transações!C134,"")</f>
        <v/>
      </c>
      <c r="B134" s="17" t="str">
        <f aca="false">IF(Transações!A134&lt;&gt;"",Transações!A134,"")</f>
        <v/>
      </c>
      <c r="C134" s="17" t="str">
        <f aca="false">IF(Transações!B134&lt;&gt;"",Transações!B134,"")</f>
        <v/>
      </c>
      <c r="D134" s="18" t="str">
        <f aca="false">IF(Transações!D134&lt;&gt;"",Transações!D134,"")</f>
        <v/>
      </c>
      <c r="E134" s="19" t="str">
        <f aca="false">IF(Transações!E134&lt;&gt;"",Transações!E134,"")</f>
        <v/>
      </c>
      <c r="F134" s="12" t="str">
        <f aca="false">IF(C134="Compra",D134*E134,IF(C134="Staking",D134*E134,""))</f>
        <v/>
      </c>
      <c r="G134" s="12" t="str">
        <f aca="false">IF(C134="Venda",IF(COUNTIF(A$3:A133,A134)&gt;0,(E134-SUMPRODUCT((A$3:A133=A134)*(C$3:C133="Compra")*F$3:F133)/IF(SUMPRODUCT((A$3:A133=A134)*(C$3:C133="Compra")*D$3:D133)=0,1,SUMPRODUCT((A$3:A133=A134)*(C$3:C133="Compra")*D$3:D133)))*D134,0),"")</f>
        <v/>
      </c>
      <c r="H134" s="12" t="str">
        <f aca="false">IF(C134="Venda",E134*D134,"")</f>
        <v/>
      </c>
    </row>
    <row r="135" customFormat="false" ht="15" hidden="false" customHeight="false" outlineLevel="0" collapsed="false">
      <c r="A135" s="14" t="str">
        <f aca="false">IF(Transações!C135&lt;&gt;"",Transações!C135,"")</f>
        <v/>
      </c>
      <c r="B135" s="14" t="str">
        <f aca="false">IF(Transações!A135&lt;&gt;"",Transações!A135,"")</f>
        <v/>
      </c>
      <c r="C135" s="14" t="str">
        <f aca="false">IF(Transações!B135&lt;&gt;"",Transações!B135,"")</f>
        <v/>
      </c>
      <c r="D135" s="15" t="str">
        <f aca="false">IF(Transações!D135&lt;&gt;"",Transações!D135,"")</f>
        <v/>
      </c>
      <c r="E135" s="16" t="str">
        <f aca="false">IF(Transações!E135&lt;&gt;"",Transações!E135,"")</f>
        <v/>
      </c>
      <c r="F135" s="7" t="str">
        <f aca="false">IF(C135="Compra",D135*E135,IF(C135="Staking",D135*E135,""))</f>
        <v/>
      </c>
      <c r="G135" s="7" t="str">
        <f aca="false">IF(C135="Venda",IF(COUNTIF(A$3:A134,A135)&gt;0,(E135-SUMPRODUCT((A$3:A134=A135)*(C$3:C134="Compra")*F$3:F134)/IF(SUMPRODUCT((A$3:A134=A135)*(C$3:C134="Compra")*D$3:D134)=0,1,SUMPRODUCT((A$3:A134=A135)*(C$3:C134="Compra")*D$3:D134)))*D135,0),"")</f>
        <v/>
      </c>
      <c r="H135" s="7" t="str">
        <f aca="false">IF(C135="Venda",E135*D135,"")</f>
        <v/>
      </c>
    </row>
    <row r="136" customFormat="false" ht="15" hidden="false" customHeight="false" outlineLevel="0" collapsed="false">
      <c r="A136" s="17" t="str">
        <f aca="false">IF(Transações!C136&lt;&gt;"",Transações!C136,"")</f>
        <v/>
      </c>
      <c r="B136" s="17" t="str">
        <f aca="false">IF(Transações!A136&lt;&gt;"",Transações!A136,"")</f>
        <v/>
      </c>
      <c r="C136" s="17" t="str">
        <f aca="false">IF(Transações!B136&lt;&gt;"",Transações!B136,"")</f>
        <v/>
      </c>
      <c r="D136" s="18" t="str">
        <f aca="false">IF(Transações!D136&lt;&gt;"",Transações!D136,"")</f>
        <v/>
      </c>
      <c r="E136" s="19" t="str">
        <f aca="false">IF(Transações!E136&lt;&gt;"",Transações!E136,"")</f>
        <v/>
      </c>
      <c r="F136" s="12" t="str">
        <f aca="false">IF(C136="Compra",D136*E136,IF(C136="Staking",D136*E136,""))</f>
        <v/>
      </c>
      <c r="G136" s="12" t="str">
        <f aca="false">IF(C136="Venda",IF(COUNTIF(A$3:A135,A136)&gt;0,(E136-SUMPRODUCT((A$3:A135=A136)*(C$3:C135="Compra")*F$3:F135)/IF(SUMPRODUCT((A$3:A135=A136)*(C$3:C135="Compra")*D$3:D135)=0,1,SUMPRODUCT((A$3:A135=A136)*(C$3:C135="Compra")*D$3:D135)))*D136,0),"")</f>
        <v/>
      </c>
      <c r="H136" s="12" t="str">
        <f aca="false">IF(C136="Venda",E136*D136,"")</f>
        <v/>
      </c>
    </row>
    <row r="137" customFormat="false" ht="15" hidden="false" customHeight="false" outlineLevel="0" collapsed="false">
      <c r="A137" s="14" t="str">
        <f aca="false">IF(Transações!C137&lt;&gt;"",Transações!C137,"")</f>
        <v/>
      </c>
      <c r="B137" s="14" t="str">
        <f aca="false">IF(Transações!A137&lt;&gt;"",Transações!A137,"")</f>
        <v/>
      </c>
      <c r="C137" s="14" t="str">
        <f aca="false">IF(Transações!B137&lt;&gt;"",Transações!B137,"")</f>
        <v/>
      </c>
      <c r="D137" s="15" t="str">
        <f aca="false">IF(Transações!D137&lt;&gt;"",Transações!D137,"")</f>
        <v/>
      </c>
      <c r="E137" s="16" t="str">
        <f aca="false">IF(Transações!E137&lt;&gt;"",Transações!E137,"")</f>
        <v/>
      </c>
      <c r="F137" s="7" t="str">
        <f aca="false">IF(C137="Compra",D137*E137,IF(C137="Staking",D137*E137,""))</f>
        <v/>
      </c>
      <c r="G137" s="7" t="str">
        <f aca="false">IF(C137="Venda",IF(COUNTIF(A$3:A136,A137)&gt;0,(E137-SUMPRODUCT((A$3:A136=A137)*(C$3:C136="Compra")*F$3:F136)/IF(SUMPRODUCT((A$3:A136=A137)*(C$3:C136="Compra")*D$3:D136)=0,1,SUMPRODUCT((A$3:A136=A137)*(C$3:C136="Compra")*D$3:D136)))*D137,0),"")</f>
        <v/>
      </c>
      <c r="H137" s="7" t="str">
        <f aca="false">IF(C137="Venda",E137*D137,"")</f>
        <v/>
      </c>
    </row>
    <row r="138" customFormat="false" ht="15" hidden="false" customHeight="false" outlineLevel="0" collapsed="false">
      <c r="A138" s="17" t="str">
        <f aca="false">IF(Transações!C138&lt;&gt;"",Transações!C138,"")</f>
        <v/>
      </c>
      <c r="B138" s="17" t="str">
        <f aca="false">IF(Transações!A138&lt;&gt;"",Transações!A138,"")</f>
        <v/>
      </c>
      <c r="C138" s="17" t="str">
        <f aca="false">IF(Transações!B138&lt;&gt;"",Transações!B138,"")</f>
        <v/>
      </c>
      <c r="D138" s="18" t="str">
        <f aca="false">IF(Transações!D138&lt;&gt;"",Transações!D138,"")</f>
        <v/>
      </c>
      <c r="E138" s="19" t="str">
        <f aca="false">IF(Transações!E138&lt;&gt;"",Transações!E138,"")</f>
        <v/>
      </c>
      <c r="F138" s="12" t="str">
        <f aca="false">IF(C138="Compra",D138*E138,IF(C138="Staking",D138*E138,""))</f>
        <v/>
      </c>
      <c r="G138" s="12" t="str">
        <f aca="false">IF(C138="Venda",IF(COUNTIF(A$3:A137,A138)&gt;0,(E138-SUMPRODUCT((A$3:A137=A138)*(C$3:C137="Compra")*F$3:F137)/IF(SUMPRODUCT((A$3:A137=A138)*(C$3:C137="Compra")*D$3:D137)=0,1,SUMPRODUCT((A$3:A137=A138)*(C$3:C137="Compra")*D$3:D137)))*D138,0),"")</f>
        <v/>
      </c>
      <c r="H138" s="12" t="str">
        <f aca="false">IF(C138="Venda",E138*D138,"")</f>
        <v/>
      </c>
    </row>
    <row r="139" customFormat="false" ht="15" hidden="false" customHeight="false" outlineLevel="0" collapsed="false">
      <c r="A139" s="14" t="str">
        <f aca="false">IF(Transações!C139&lt;&gt;"",Transações!C139,"")</f>
        <v/>
      </c>
      <c r="B139" s="14" t="str">
        <f aca="false">IF(Transações!A139&lt;&gt;"",Transações!A139,"")</f>
        <v/>
      </c>
      <c r="C139" s="14" t="str">
        <f aca="false">IF(Transações!B139&lt;&gt;"",Transações!B139,"")</f>
        <v/>
      </c>
      <c r="D139" s="15" t="str">
        <f aca="false">IF(Transações!D139&lt;&gt;"",Transações!D139,"")</f>
        <v/>
      </c>
      <c r="E139" s="16" t="str">
        <f aca="false">IF(Transações!E139&lt;&gt;"",Transações!E139,"")</f>
        <v/>
      </c>
      <c r="F139" s="7" t="str">
        <f aca="false">IF(C139="Compra",D139*E139,IF(C139="Staking",D139*E139,""))</f>
        <v/>
      </c>
      <c r="G139" s="7" t="str">
        <f aca="false">IF(C139="Venda",IF(COUNTIF(A$3:A138,A139)&gt;0,(E139-SUMPRODUCT((A$3:A138=A139)*(C$3:C138="Compra")*F$3:F138)/IF(SUMPRODUCT((A$3:A138=A139)*(C$3:C138="Compra")*D$3:D138)=0,1,SUMPRODUCT((A$3:A138=A139)*(C$3:C138="Compra")*D$3:D138)))*D139,0),"")</f>
        <v/>
      </c>
      <c r="H139" s="7" t="str">
        <f aca="false">IF(C139="Venda",E139*D139,"")</f>
        <v/>
      </c>
    </row>
    <row r="140" customFormat="false" ht="15" hidden="false" customHeight="false" outlineLevel="0" collapsed="false">
      <c r="A140" s="17" t="str">
        <f aca="false">IF(Transações!C140&lt;&gt;"",Transações!C140,"")</f>
        <v/>
      </c>
      <c r="B140" s="17" t="str">
        <f aca="false">IF(Transações!A140&lt;&gt;"",Transações!A140,"")</f>
        <v/>
      </c>
      <c r="C140" s="17" t="str">
        <f aca="false">IF(Transações!B140&lt;&gt;"",Transações!B140,"")</f>
        <v/>
      </c>
      <c r="D140" s="18" t="str">
        <f aca="false">IF(Transações!D140&lt;&gt;"",Transações!D140,"")</f>
        <v/>
      </c>
      <c r="E140" s="19" t="str">
        <f aca="false">IF(Transações!E140&lt;&gt;"",Transações!E140,"")</f>
        <v/>
      </c>
      <c r="F140" s="12" t="str">
        <f aca="false">IF(C140="Compra",D140*E140,IF(C140="Staking",D140*E140,""))</f>
        <v/>
      </c>
      <c r="G140" s="12" t="str">
        <f aca="false">IF(C140="Venda",IF(COUNTIF(A$3:A139,A140)&gt;0,(E140-SUMPRODUCT((A$3:A139=A140)*(C$3:C139="Compra")*F$3:F139)/IF(SUMPRODUCT((A$3:A139=A140)*(C$3:C139="Compra")*D$3:D139)=0,1,SUMPRODUCT((A$3:A139=A140)*(C$3:C139="Compra")*D$3:D139)))*D140,0),"")</f>
        <v/>
      </c>
      <c r="H140" s="12" t="str">
        <f aca="false">IF(C140="Venda",E140*D140,"")</f>
        <v/>
      </c>
    </row>
    <row r="141" customFormat="false" ht="15" hidden="false" customHeight="false" outlineLevel="0" collapsed="false">
      <c r="A141" s="14" t="str">
        <f aca="false">IF(Transações!C141&lt;&gt;"",Transações!C141,"")</f>
        <v/>
      </c>
      <c r="B141" s="14" t="str">
        <f aca="false">IF(Transações!A141&lt;&gt;"",Transações!A141,"")</f>
        <v/>
      </c>
      <c r="C141" s="14" t="str">
        <f aca="false">IF(Transações!B141&lt;&gt;"",Transações!B141,"")</f>
        <v/>
      </c>
      <c r="D141" s="15" t="str">
        <f aca="false">IF(Transações!D141&lt;&gt;"",Transações!D141,"")</f>
        <v/>
      </c>
      <c r="E141" s="16" t="str">
        <f aca="false">IF(Transações!E141&lt;&gt;"",Transações!E141,"")</f>
        <v/>
      </c>
      <c r="F141" s="7" t="str">
        <f aca="false">IF(C141="Compra",D141*E141,IF(C141="Staking",D141*E141,""))</f>
        <v/>
      </c>
      <c r="G141" s="7" t="str">
        <f aca="false">IF(C141="Venda",IF(COUNTIF(A$3:A140,A141)&gt;0,(E141-SUMPRODUCT((A$3:A140=A141)*(C$3:C140="Compra")*F$3:F140)/IF(SUMPRODUCT((A$3:A140=A141)*(C$3:C140="Compra")*D$3:D140)=0,1,SUMPRODUCT((A$3:A140=A141)*(C$3:C140="Compra")*D$3:D140)))*D141,0),"")</f>
        <v/>
      </c>
      <c r="H141" s="7" t="str">
        <f aca="false">IF(C141="Venda",E141*D141,"")</f>
        <v/>
      </c>
    </row>
    <row r="142" customFormat="false" ht="15" hidden="false" customHeight="false" outlineLevel="0" collapsed="false">
      <c r="A142" s="17" t="str">
        <f aca="false">IF(Transações!C142&lt;&gt;"",Transações!C142,"")</f>
        <v/>
      </c>
      <c r="B142" s="17" t="str">
        <f aca="false">IF(Transações!A142&lt;&gt;"",Transações!A142,"")</f>
        <v/>
      </c>
      <c r="C142" s="17" t="str">
        <f aca="false">IF(Transações!B142&lt;&gt;"",Transações!B142,"")</f>
        <v/>
      </c>
      <c r="D142" s="18" t="str">
        <f aca="false">IF(Transações!D142&lt;&gt;"",Transações!D142,"")</f>
        <v/>
      </c>
      <c r="E142" s="19" t="str">
        <f aca="false">IF(Transações!E142&lt;&gt;"",Transações!E142,"")</f>
        <v/>
      </c>
      <c r="F142" s="12" t="str">
        <f aca="false">IF(C142="Compra",D142*E142,IF(C142="Staking",D142*E142,""))</f>
        <v/>
      </c>
      <c r="G142" s="12" t="str">
        <f aca="false">IF(C142="Venda",IF(COUNTIF(A$3:A141,A142)&gt;0,(E142-SUMPRODUCT((A$3:A141=A142)*(C$3:C141="Compra")*F$3:F141)/IF(SUMPRODUCT((A$3:A141=A142)*(C$3:C141="Compra")*D$3:D141)=0,1,SUMPRODUCT((A$3:A141=A142)*(C$3:C141="Compra")*D$3:D141)))*D142,0),"")</f>
        <v/>
      </c>
      <c r="H142" s="12" t="str">
        <f aca="false">IF(C142="Venda",E142*D142,"")</f>
        <v/>
      </c>
    </row>
    <row r="143" customFormat="false" ht="15" hidden="false" customHeight="false" outlineLevel="0" collapsed="false">
      <c r="A143" s="14" t="str">
        <f aca="false">IF(Transações!C143&lt;&gt;"",Transações!C143,"")</f>
        <v/>
      </c>
      <c r="B143" s="14" t="str">
        <f aca="false">IF(Transações!A143&lt;&gt;"",Transações!A143,"")</f>
        <v/>
      </c>
      <c r="C143" s="14" t="str">
        <f aca="false">IF(Transações!B143&lt;&gt;"",Transações!B143,"")</f>
        <v/>
      </c>
      <c r="D143" s="15" t="str">
        <f aca="false">IF(Transações!D143&lt;&gt;"",Transações!D143,"")</f>
        <v/>
      </c>
      <c r="E143" s="16" t="str">
        <f aca="false">IF(Transações!E143&lt;&gt;"",Transações!E143,"")</f>
        <v/>
      </c>
      <c r="F143" s="7" t="str">
        <f aca="false">IF(C143="Compra",D143*E143,IF(C143="Staking",D143*E143,""))</f>
        <v/>
      </c>
      <c r="G143" s="7" t="str">
        <f aca="false">IF(C143="Venda",IF(COUNTIF(A$3:A142,A143)&gt;0,(E143-SUMPRODUCT((A$3:A142=A143)*(C$3:C142="Compra")*F$3:F142)/IF(SUMPRODUCT((A$3:A142=A143)*(C$3:C142="Compra")*D$3:D142)=0,1,SUMPRODUCT((A$3:A142=A143)*(C$3:C142="Compra")*D$3:D142)))*D143,0),"")</f>
        <v/>
      </c>
      <c r="H143" s="7" t="str">
        <f aca="false">IF(C143="Venda",E143*D143,"")</f>
        <v/>
      </c>
    </row>
    <row r="144" customFormat="false" ht="15" hidden="false" customHeight="false" outlineLevel="0" collapsed="false">
      <c r="A144" s="17" t="str">
        <f aca="false">IF(Transações!C144&lt;&gt;"",Transações!C144,"")</f>
        <v/>
      </c>
      <c r="B144" s="17" t="str">
        <f aca="false">IF(Transações!A144&lt;&gt;"",Transações!A144,"")</f>
        <v/>
      </c>
      <c r="C144" s="17" t="str">
        <f aca="false">IF(Transações!B144&lt;&gt;"",Transações!B144,"")</f>
        <v/>
      </c>
      <c r="D144" s="18" t="str">
        <f aca="false">IF(Transações!D144&lt;&gt;"",Transações!D144,"")</f>
        <v/>
      </c>
      <c r="E144" s="19" t="str">
        <f aca="false">IF(Transações!E144&lt;&gt;"",Transações!E144,"")</f>
        <v/>
      </c>
      <c r="F144" s="12" t="str">
        <f aca="false">IF(C144="Compra",D144*E144,IF(C144="Staking",D144*E144,""))</f>
        <v/>
      </c>
      <c r="G144" s="12" t="str">
        <f aca="false">IF(C144="Venda",IF(COUNTIF(A$3:A143,A144)&gt;0,(E144-SUMPRODUCT((A$3:A143=A144)*(C$3:C143="Compra")*F$3:F143)/IF(SUMPRODUCT((A$3:A143=A144)*(C$3:C143="Compra")*D$3:D143)=0,1,SUMPRODUCT((A$3:A143=A144)*(C$3:C143="Compra")*D$3:D143)))*D144,0),"")</f>
        <v/>
      </c>
      <c r="H144" s="12" t="str">
        <f aca="false">IF(C144="Venda",E144*D144,"")</f>
        <v/>
      </c>
    </row>
    <row r="145" customFormat="false" ht="15" hidden="false" customHeight="false" outlineLevel="0" collapsed="false">
      <c r="A145" s="14" t="str">
        <f aca="false">IF(Transações!C145&lt;&gt;"",Transações!C145,"")</f>
        <v/>
      </c>
      <c r="B145" s="14" t="str">
        <f aca="false">IF(Transações!A145&lt;&gt;"",Transações!A145,"")</f>
        <v/>
      </c>
      <c r="C145" s="14" t="str">
        <f aca="false">IF(Transações!B145&lt;&gt;"",Transações!B145,"")</f>
        <v/>
      </c>
      <c r="D145" s="15" t="str">
        <f aca="false">IF(Transações!D145&lt;&gt;"",Transações!D145,"")</f>
        <v/>
      </c>
      <c r="E145" s="16" t="str">
        <f aca="false">IF(Transações!E145&lt;&gt;"",Transações!E145,"")</f>
        <v/>
      </c>
      <c r="F145" s="7" t="str">
        <f aca="false">IF(C145="Compra",D145*E145,IF(C145="Staking",D145*E145,""))</f>
        <v/>
      </c>
      <c r="G145" s="7" t="str">
        <f aca="false">IF(C145="Venda",IF(COUNTIF(A$3:A144,A145)&gt;0,(E145-SUMPRODUCT((A$3:A144=A145)*(C$3:C144="Compra")*F$3:F144)/IF(SUMPRODUCT((A$3:A144=A145)*(C$3:C144="Compra")*D$3:D144)=0,1,SUMPRODUCT((A$3:A144=A145)*(C$3:C144="Compra")*D$3:D144)))*D145,0),"")</f>
        <v/>
      </c>
      <c r="H145" s="7" t="str">
        <f aca="false">IF(C145="Venda",E145*D145,"")</f>
        <v/>
      </c>
    </row>
    <row r="146" customFormat="false" ht="15" hidden="false" customHeight="false" outlineLevel="0" collapsed="false">
      <c r="A146" s="17" t="str">
        <f aca="false">IF(Transações!C146&lt;&gt;"",Transações!C146,"")</f>
        <v/>
      </c>
      <c r="B146" s="17" t="str">
        <f aca="false">IF(Transações!A146&lt;&gt;"",Transações!A146,"")</f>
        <v/>
      </c>
      <c r="C146" s="17" t="str">
        <f aca="false">IF(Transações!B146&lt;&gt;"",Transações!B146,"")</f>
        <v/>
      </c>
      <c r="D146" s="18" t="str">
        <f aca="false">IF(Transações!D146&lt;&gt;"",Transações!D146,"")</f>
        <v/>
      </c>
      <c r="E146" s="19" t="str">
        <f aca="false">IF(Transações!E146&lt;&gt;"",Transações!E146,"")</f>
        <v/>
      </c>
      <c r="F146" s="12" t="str">
        <f aca="false">IF(C146="Compra",D146*E146,IF(C146="Staking",D146*E146,""))</f>
        <v/>
      </c>
      <c r="G146" s="12" t="str">
        <f aca="false">IF(C146="Venda",IF(COUNTIF(A$3:A145,A146)&gt;0,(E146-SUMPRODUCT((A$3:A145=A146)*(C$3:C145="Compra")*F$3:F145)/IF(SUMPRODUCT((A$3:A145=A146)*(C$3:C145="Compra")*D$3:D145)=0,1,SUMPRODUCT((A$3:A145=A146)*(C$3:C145="Compra")*D$3:D145)))*D146,0),"")</f>
        <v/>
      </c>
      <c r="H146" s="12" t="str">
        <f aca="false">IF(C146="Venda",E146*D146,"")</f>
        <v/>
      </c>
    </row>
    <row r="147" customFormat="false" ht="15" hidden="false" customHeight="false" outlineLevel="0" collapsed="false">
      <c r="A147" s="14" t="str">
        <f aca="false">IF(Transações!C147&lt;&gt;"",Transações!C147,"")</f>
        <v/>
      </c>
      <c r="B147" s="14" t="str">
        <f aca="false">IF(Transações!A147&lt;&gt;"",Transações!A147,"")</f>
        <v/>
      </c>
      <c r="C147" s="14" t="str">
        <f aca="false">IF(Transações!B147&lt;&gt;"",Transações!B147,"")</f>
        <v/>
      </c>
      <c r="D147" s="15" t="str">
        <f aca="false">IF(Transações!D147&lt;&gt;"",Transações!D147,"")</f>
        <v/>
      </c>
      <c r="E147" s="16" t="str">
        <f aca="false">IF(Transações!E147&lt;&gt;"",Transações!E147,"")</f>
        <v/>
      </c>
      <c r="F147" s="7" t="str">
        <f aca="false">IF(C147="Compra",D147*E147,IF(C147="Staking",D147*E147,""))</f>
        <v/>
      </c>
      <c r="G147" s="7" t="str">
        <f aca="false">IF(C147="Venda",IF(COUNTIF(A$3:A146,A147)&gt;0,(E147-SUMPRODUCT((A$3:A146=A147)*(C$3:C146="Compra")*F$3:F146)/IF(SUMPRODUCT((A$3:A146=A147)*(C$3:C146="Compra")*D$3:D146)=0,1,SUMPRODUCT((A$3:A146=A147)*(C$3:C146="Compra")*D$3:D146)))*D147,0),"")</f>
        <v/>
      </c>
      <c r="H147" s="7" t="str">
        <f aca="false">IF(C147="Venda",E147*D147,"")</f>
        <v/>
      </c>
    </row>
    <row r="148" customFormat="false" ht="15" hidden="false" customHeight="false" outlineLevel="0" collapsed="false">
      <c r="A148" s="17" t="str">
        <f aca="false">IF(Transações!C148&lt;&gt;"",Transações!C148,"")</f>
        <v/>
      </c>
      <c r="B148" s="17" t="str">
        <f aca="false">IF(Transações!A148&lt;&gt;"",Transações!A148,"")</f>
        <v/>
      </c>
      <c r="C148" s="17" t="str">
        <f aca="false">IF(Transações!B148&lt;&gt;"",Transações!B148,"")</f>
        <v/>
      </c>
      <c r="D148" s="18" t="str">
        <f aca="false">IF(Transações!D148&lt;&gt;"",Transações!D148,"")</f>
        <v/>
      </c>
      <c r="E148" s="19" t="str">
        <f aca="false">IF(Transações!E148&lt;&gt;"",Transações!E148,"")</f>
        <v/>
      </c>
      <c r="F148" s="12" t="str">
        <f aca="false">IF(C148="Compra",D148*E148,IF(C148="Staking",D148*E148,""))</f>
        <v/>
      </c>
      <c r="G148" s="12" t="str">
        <f aca="false">IF(C148="Venda",IF(COUNTIF(A$3:A147,A148)&gt;0,(E148-SUMPRODUCT((A$3:A147=A148)*(C$3:C147="Compra")*F$3:F147)/IF(SUMPRODUCT((A$3:A147=A148)*(C$3:C147="Compra")*D$3:D147)=0,1,SUMPRODUCT((A$3:A147=A148)*(C$3:C147="Compra")*D$3:D147)))*D148,0),"")</f>
        <v/>
      </c>
      <c r="H148" s="12" t="str">
        <f aca="false">IF(C148="Venda",E148*D148,"")</f>
        <v/>
      </c>
    </row>
    <row r="149" customFormat="false" ht="15" hidden="false" customHeight="false" outlineLevel="0" collapsed="false">
      <c r="A149" s="14" t="str">
        <f aca="false">IF(Transações!C149&lt;&gt;"",Transações!C149,"")</f>
        <v/>
      </c>
      <c r="B149" s="14" t="str">
        <f aca="false">IF(Transações!A149&lt;&gt;"",Transações!A149,"")</f>
        <v/>
      </c>
      <c r="C149" s="14" t="str">
        <f aca="false">IF(Transações!B149&lt;&gt;"",Transações!B149,"")</f>
        <v/>
      </c>
      <c r="D149" s="15" t="str">
        <f aca="false">IF(Transações!D149&lt;&gt;"",Transações!D149,"")</f>
        <v/>
      </c>
      <c r="E149" s="16" t="str">
        <f aca="false">IF(Transações!E149&lt;&gt;"",Transações!E149,"")</f>
        <v/>
      </c>
      <c r="F149" s="7" t="str">
        <f aca="false">IF(C149="Compra",D149*E149,IF(C149="Staking",D149*E149,""))</f>
        <v/>
      </c>
      <c r="G149" s="7" t="str">
        <f aca="false">IF(C149="Venda",IF(COUNTIF(A$3:A148,A149)&gt;0,(E149-SUMPRODUCT((A$3:A148=A149)*(C$3:C148="Compra")*F$3:F148)/IF(SUMPRODUCT((A$3:A148=A149)*(C$3:C148="Compra")*D$3:D148)=0,1,SUMPRODUCT((A$3:A148=A149)*(C$3:C148="Compra")*D$3:D148)))*D149,0),"")</f>
        <v/>
      </c>
      <c r="H149" s="7" t="str">
        <f aca="false">IF(C149="Venda",E149*D149,"")</f>
        <v/>
      </c>
    </row>
    <row r="150" customFormat="false" ht="15" hidden="false" customHeight="false" outlineLevel="0" collapsed="false">
      <c r="A150" s="17" t="str">
        <f aca="false">IF(Transações!C150&lt;&gt;"",Transações!C150,"")</f>
        <v/>
      </c>
      <c r="B150" s="17" t="str">
        <f aca="false">IF(Transações!A150&lt;&gt;"",Transações!A150,"")</f>
        <v/>
      </c>
      <c r="C150" s="17" t="str">
        <f aca="false">IF(Transações!B150&lt;&gt;"",Transações!B150,"")</f>
        <v/>
      </c>
      <c r="D150" s="18" t="str">
        <f aca="false">IF(Transações!D150&lt;&gt;"",Transações!D150,"")</f>
        <v/>
      </c>
      <c r="E150" s="19" t="str">
        <f aca="false">IF(Transações!E150&lt;&gt;"",Transações!E150,"")</f>
        <v/>
      </c>
      <c r="F150" s="12" t="str">
        <f aca="false">IF(C150="Compra",D150*E150,IF(C150="Staking",D150*E150,""))</f>
        <v/>
      </c>
      <c r="G150" s="12" t="str">
        <f aca="false">IF(C150="Venda",IF(COUNTIF(A$3:A149,A150)&gt;0,(E150-SUMPRODUCT((A$3:A149=A150)*(C$3:C149="Compra")*F$3:F149)/IF(SUMPRODUCT((A$3:A149=A150)*(C$3:C149="Compra")*D$3:D149)=0,1,SUMPRODUCT((A$3:A149=A150)*(C$3:C149="Compra")*D$3:D149)))*D150,0),"")</f>
        <v/>
      </c>
      <c r="H150" s="12" t="str">
        <f aca="false">IF(C150="Venda",E150*D150,"")</f>
        <v/>
      </c>
    </row>
    <row r="151" customFormat="false" ht="15" hidden="false" customHeight="false" outlineLevel="0" collapsed="false">
      <c r="A151" s="14" t="str">
        <f aca="false">IF(Transações!C151&lt;&gt;"",Transações!C151,"")</f>
        <v/>
      </c>
      <c r="B151" s="14" t="str">
        <f aca="false">IF(Transações!A151&lt;&gt;"",Transações!A151,"")</f>
        <v/>
      </c>
      <c r="C151" s="14" t="str">
        <f aca="false">IF(Transações!B151&lt;&gt;"",Transações!B151,"")</f>
        <v/>
      </c>
      <c r="D151" s="15" t="str">
        <f aca="false">IF(Transações!D151&lt;&gt;"",Transações!D151,"")</f>
        <v/>
      </c>
      <c r="E151" s="16" t="str">
        <f aca="false">IF(Transações!E151&lt;&gt;"",Transações!E151,"")</f>
        <v/>
      </c>
      <c r="F151" s="7" t="str">
        <f aca="false">IF(C151="Compra",D151*E151,IF(C151="Staking",D151*E151,""))</f>
        <v/>
      </c>
      <c r="G151" s="7" t="str">
        <f aca="false">IF(C151="Venda",IF(COUNTIF(A$3:A150,A151)&gt;0,(E151-SUMPRODUCT((A$3:A150=A151)*(C$3:C150="Compra")*F$3:F150)/IF(SUMPRODUCT((A$3:A150=A151)*(C$3:C150="Compra")*D$3:D150)=0,1,SUMPRODUCT((A$3:A150=A151)*(C$3:C150="Compra")*D$3:D150)))*D151,0),"")</f>
        <v/>
      </c>
      <c r="H151" s="7" t="str">
        <f aca="false">IF(C151="Venda",E151*D151,"")</f>
        <v/>
      </c>
    </row>
    <row r="152" customFormat="false" ht="15" hidden="false" customHeight="false" outlineLevel="0" collapsed="false">
      <c r="A152" s="17" t="str">
        <f aca="false">IF(Transações!C152&lt;&gt;"",Transações!C152,"")</f>
        <v/>
      </c>
      <c r="B152" s="17" t="str">
        <f aca="false">IF(Transações!A152&lt;&gt;"",Transações!A152,"")</f>
        <v/>
      </c>
      <c r="C152" s="17" t="str">
        <f aca="false">IF(Transações!B152&lt;&gt;"",Transações!B152,"")</f>
        <v/>
      </c>
      <c r="D152" s="18" t="str">
        <f aca="false">IF(Transações!D152&lt;&gt;"",Transações!D152,"")</f>
        <v/>
      </c>
      <c r="E152" s="19" t="str">
        <f aca="false">IF(Transações!E152&lt;&gt;"",Transações!E152,"")</f>
        <v/>
      </c>
      <c r="F152" s="12" t="str">
        <f aca="false">IF(C152="Compra",D152*E152,IF(C152="Staking",D152*E152,""))</f>
        <v/>
      </c>
      <c r="G152" s="12" t="str">
        <f aca="false">IF(C152="Venda",IF(COUNTIF(A$3:A151,A152)&gt;0,(E152-SUMPRODUCT((A$3:A151=A152)*(C$3:C151="Compra")*F$3:F151)/IF(SUMPRODUCT((A$3:A151=A152)*(C$3:C151="Compra")*D$3:D151)=0,1,SUMPRODUCT((A$3:A151=A152)*(C$3:C151="Compra")*D$3:D151)))*D152,0),"")</f>
        <v/>
      </c>
      <c r="H152" s="12" t="str">
        <f aca="false">IF(C152="Venda",E152*D152,"")</f>
        <v/>
      </c>
    </row>
    <row r="153" customFormat="false" ht="15" hidden="false" customHeight="false" outlineLevel="0" collapsed="false">
      <c r="A153" s="14" t="str">
        <f aca="false">IF(Transações!C153&lt;&gt;"",Transações!C153,"")</f>
        <v/>
      </c>
      <c r="B153" s="14" t="str">
        <f aca="false">IF(Transações!A153&lt;&gt;"",Transações!A153,"")</f>
        <v/>
      </c>
      <c r="C153" s="14" t="str">
        <f aca="false">IF(Transações!B153&lt;&gt;"",Transações!B153,"")</f>
        <v/>
      </c>
      <c r="D153" s="15" t="str">
        <f aca="false">IF(Transações!D153&lt;&gt;"",Transações!D153,"")</f>
        <v/>
      </c>
      <c r="E153" s="16" t="str">
        <f aca="false">IF(Transações!E153&lt;&gt;"",Transações!E153,"")</f>
        <v/>
      </c>
      <c r="F153" s="7" t="str">
        <f aca="false">IF(C153="Compra",D153*E153,IF(C153="Staking",D153*E153,""))</f>
        <v/>
      </c>
      <c r="G153" s="7" t="str">
        <f aca="false">IF(C153="Venda",IF(COUNTIF(A$3:A152,A153)&gt;0,(E153-SUMPRODUCT((A$3:A152=A153)*(C$3:C152="Compra")*F$3:F152)/IF(SUMPRODUCT((A$3:A152=A153)*(C$3:C152="Compra")*D$3:D152)=0,1,SUMPRODUCT((A$3:A152=A153)*(C$3:C152="Compra")*D$3:D152)))*D153,0),"")</f>
        <v/>
      </c>
      <c r="H153" s="7" t="str">
        <f aca="false">IF(C153="Venda",E153*D153,"")</f>
        <v/>
      </c>
    </row>
    <row r="154" customFormat="false" ht="15" hidden="false" customHeight="false" outlineLevel="0" collapsed="false">
      <c r="A154" s="17" t="str">
        <f aca="false">IF(Transações!C154&lt;&gt;"",Transações!C154,"")</f>
        <v/>
      </c>
      <c r="B154" s="17" t="str">
        <f aca="false">IF(Transações!A154&lt;&gt;"",Transações!A154,"")</f>
        <v/>
      </c>
      <c r="C154" s="17" t="str">
        <f aca="false">IF(Transações!B154&lt;&gt;"",Transações!B154,"")</f>
        <v/>
      </c>
      <c r="D154" s="18" t="str">
        <f aca="false">IF(Transações!D154&lt;&gt;"",Transações!D154,"")</f>
        <v/>
      </c>
      <c r="E154" s="19" t="str">
        <f aca="false">IF(Transações!E154&lt;&gt;"",Transações!E154,"")</f>
        <v/>
      </c>
      <c r="F154" s="12" t="str">
        <f aca="false">IF(C154="Compra",D154*E154,IF(C154="Staking",D154*E154,""))</f>
        <v/>
      </c>
      <c r="G154" s="12" t="str">
        <f aca="false">IF(C154="Venda",IF(COUNTIF(A$3:A153,A154)&gt;0,(E154-SUMPRODUCT((A$3:A153=A154)*(C$3:C153="Compra")*F$3:F153)/IF(SUMPRODUCT((A$3:A153=A154)*(C$3:C153="Compra")*D$3:D153)=0,1,SUMPRODUCT((A$3:A153=A154)*(C$3:C153="Compra")*D$3:D153)))*D154,0),"")</f>
        <v/>
      </c>
      <c r="H154" s="12" t="str">
        <f aca="false">IF(C154="Venda",E154*D154,"")</f>
        <v/>
      </c>
    </row>
    <row r="155" customFormat="false" ht="15" hidden="false" customHeight="false" outlineLevel="0" collapsed="false">
      <c r="A155" s="14" t="str">
        <f aca="false">IF(Transações!C155&lt;&gt;"",Transações!C155,"")</f>
        <v/>
      </c>
      <c r="B155" s="14" t="str">
        <f aca="false">IF(Transações!A155&lt;&gt;"",Transações!A155,"")</f>
        <v/>
      </c>
      <c r="C155" s="14" t="str">
        <f aca="false">IF(Transações!B155&lt;&gt;"",Transações!B155,"")</f>
        <v/>
      </c>
      <c r="D155" s="15" t="str">
        <f aca="false">IF(Transações!D155&lt;&gt;"",Transações!D155,"")</f>
        <v/>
      </c>
      <c r="E155" s="16" t="str">
        <f aca="false">IF(Transações!E155&lt;&gt;"",Transações!E155,"")</f>
        <v/>
      </c>
      <c r="F155" s="7" t="str">
        <f aca="false">IF(C155="Compra",D155*E155,IF(C155="Staking",D155*E155,""))</f>
        <v/>
      </c>
      <c r="G155" s="7" t="str">
        <f aca="false">IF(C155="Venda",IF(COUNTIF(A$3:A154,A155)&gt;0,(E155-SUMPRODUCT((A$3:A154=A155)*(C$3:C154="Compra")*F$3:F154)/IF(SUMPRODUCT((A$3:A154=A155)*(C$3:C154="Compra")*D$3:D154)=0,1,SUMPRODUCT((A$3:A154=A155)*(C$3:C154="Compra")*D$3:D154)))*D155,0),"")</f>
        <v/>
      </c>
      <c r="H155" s="7" t="str">
        <f aca="false">IF(C155="Venda",E155*D155,"")</f>
        <v/>
      </c>
    </row>
    <row r="156" customFormat="false" ht="15" hidden="false" customHeight="false" outlineLevel="0" collapsed="false">
      <c r="A156" s="17" t="str">
        <f aca="false">IF(Transações!C156&lt;&gt;"",Transações!C156,"")</f>
        <v/>
      </c>
      <c r="B156" s="17" t="str">
        <f aca="false">IF(Transações!A156&lt;&gt;"",Transações!A156,"")</f>
        <v/>
      </c>
      <c r="C156" s="17" t="str">
        <f aca="false">IF(Transações!B156&lt;&gt;"",Transações!B156,"")</f>
        <v/>
      </c>
      <c r="D156" s="18" t="str">
        <f aca="false">IF(Transações!D156&lt;&gt;"",Transações!D156,"")</f>
        <v/>
      </c>
      <c r="E156" s="19" t="str">
        <f aca="false">IF(Transações!E156&lt;&gt;"",Transações!E156,"")</f>
        <v/>
      </c>
      <c r="F156" s="12" t="str">
        <f aca="false">IF(C156="Compra",D156*E156,IF(C156="Staking",D156*E156,""))</f>
        <v/>
      </c>
      <c r="G156" s="12" t="str">
        <f aca="false">IF(C156="Venda",IF(COUNTIF(A$3:A155,A156)&gt;0,(E156-SUMPRODUCT((A$3:A155=A156)*(C$3:C155="Compra")*F$3:F155)/IF(SUMPRODUCT((A$3:A155=A156)*(C$3:C155="Compra")*D$3:D155)=0,1,SUMPRODUCT((A$3:A155=A156)*(C$3:C155="Compra")*D$3:D155)))*D156,0),"")</f>
        <v/>
      </c>
      <c r="H156" s="12" t="str">
        <f aca="false">IF(C156="Venda",E156*D156,"")</f>
        <v/>
      </c>
    </row>
    <row r="157" customFormat="false" ht="15" hidden="false" customHeight="false" outlineLevel="0" collapsed="false">
      <c r="A157" s="14" t="str">
        <f aca="false">IF(Transações!C157&lt;&gt;"",Transações!C157,"")</f>
        <v/>
      </c>
      <c r="B157" s="14" t="str">
        <f aca="false">IF(Transações!A157&lt;&gt;"",Transações!A157,"")</f>
        <v/>
      </c>
      <c r="C157" s="14" t="str">
        <f aca="false">IF(Transações!B157&lt;&gt;"",Transações!B157,"")</f>
        <v/>
      </c>
      <c r="D157" s="15" t="str">
        <f aca="false">IF(Transações!D157&lt;&gt;"",Transações!D157,"")</f>
        <v/>
      </c>
      <c r="E157" s="16" t="str">
        <f aca="false">IF(Transações!E157&lt;&gt;"",Transações!E157,"")</f>
        <v/>
      </c>
      <c r="F157" s="7" t="str">
        <f aca="false">IF(C157="Compra",D157*E157,IF(C157="Staking",D157*E157,""))</f>
        <v/>
      </c>
      <c r="G157" s="7" t="str">
        <f aca="false">IF(C157="Venda",IF(COUNTIF(A$3:A156,A157)&gt;0,(E157-SUMPRODUCT((A$3:A156=A157)*(C$3:C156="Compra")*F$3:F156)/IF(SUMPRODUCT((A$3:A156=A157)*(C$3:C156="Compra")*D$3:D156)=0,1,SUMPRODUCT((A$3:A156=A157)*(C$3:C156="Compra")*D$3:D156)))*D157,0),"")</f>
        <v/>
      </c>
      <c r="H157" s="7" t="str">
        <f aca="false">IF(C157="Venda",E157*D157,"")</f>
        <v/>
      </c>
    </row>
    <row r="158" customFormat="false" ht="15" hidden="false" customHeight="false" outlineLevel="0" collapsed="false">
      <c r="A158" s="17" t="str">
        <f aca="false">IF(Transações!C158&lt;&gt;"",Transações!C158,"")</f>
        <v/>
      </c>
      <c r="B158" s="17" t="str">
        <f aca="false">IF(Transações!A158&lt;&gt;"",Transações!A158,"")</f>
        <v/>
      </c>
      <c r="C158" s="17" t="str">
        <f aca="false">IF(Transações!B158&lt;&gt;"",Transações!B158,"")</f>
        <v/>
      </c>
      <c r="D158" s="18" t="str">
        <f aca="false">IF(Transações!D158&lt;&gt;"",Transações!D158,"")</f>
        <v/>
      </c>
      <c r="E158" s="19" t="str">
        <f aca="false">IF(Transações!E158&lt;&gt;"",Transações!E158,"")</f>
        <v/>
      </c>
      <c r="F158" s="12" t="str">
        <f aca="false">IF(C158="Compra",D158*E158,IF(C158="Staking",D158*E158,""))</f>
        <v/>
      </c>
      <c r="G158" s="12" t="str">
        <f aca="false">IF(C158="Venda",IF(COUNTIF(A$3:A157,A158)&gt;0,(E158-SUMPRODUCT((A$3:A157=A158)*(C$3:C157="Compra")*F$3:F157)/IF(SUMPRODUCT((A$3:A157=A158)*(C$3:C157="Compra")*D$3:D157)=0,1,SUMPRODUCT((A$3:A157=A158)*(C$3:C157="Compra")*D$3:D157)))*D158,0),"")</f>
        <v/>
      </c>
      <c r="H158" s="12" t="str">
        <f aca="false">IF(C158="Venda",E158*D158,"")</f>
        <v/>
      </c>
    </row>
    <row r="159" customFormat="false" ht="15" hidden="false" customHeight="false" outlineLevel="0" collapsed="false">
      <c r="A159" s="14" t="str">
        <f aca="false">IF(Transações!C159&lt;&gt;"",Transações!C159,"")</f>
        <v/>
      </c>
      <c r="B159" s="14" t="str">
        <f aca="false">IF(Transações!A159&lt;&gt;"",Transações!A159,"")</f>
        <v/>
      </c>
      <c r="C159" s="14" t="str">
        <f aca="false">IF(Transações!B159&lt;&gt;"",Transações!B159,"")</f>
        <v/>
      </c>
      <c r="D159" s="15" t="str">
        <f aca="false">IF(Transações!D159&lt;&gt;"",Transações!D159,"")</f>
        <v/>
      </c>
      <c r="E159" s="16" t="str">
        <f aca="false">IF(Transações!E159&lt;&gt;"",Transações!E159,"")</f>
        <v/>
      </c>
      <c r="F159" s="7" t="str">
        <f aca="false">IF(C159="Compra",D159*E159,IF(C159="Staking",D159*E159,""))</f>
        <v/>
      </c>
      <c r="G159" s="7" t="str">
        <f aca="false">IF(C159="Venda",IF(COUNTIF(A$3:A158,A159)&gt;0,(E159-SUMPRODUCT((A$3:A158=A159)*(C$3:C158="Compra")*F$3:F158)/IF(SUMPRODUCT((A$3:A158=A159)*(C$3:C158="Compra")*D$3:D158)=0,1,SUMPRODUCT((A$3:A158=A159)*(C$3:C158="Compra")*D$3:D158)))*D159,0),"")</f>
        <v/>
      </c>
      <c r="H159" s="7" t="str">
        <f aca="false">IF(C159="Venda",E159*D159,"")</f>
        <v/>
      </c>
    </row>
    <row r="160" customFormat="false" ht="15" hidden="false" customHeight="false" outlineLevel="0" collapsed="false">
      <c r="A160" s="17" t="str">
        <f aca="false">IF(Transações!C160&lt;&gt;"",Transações!C160,"")</f>
        <v/>
      </c>
      <c r="B160" s="17" t="str">
        <f aca="false">IF(Transações!A160&lt;&gt;"",Transações!A160,"")</f>
        <v/>
      </c>
      <c r="C160" s="17" t="str">
        <f aca="false">IF(Transações!B160&lt;&gt;"",Transações!B160,"")</f>
        <v/>
      </c>
      <c r="D160" s="18" t="str">
        <f aca="false">IF(Transações!D160&lt;&gt;"",Transações!D160,"")</f>
        <v/>
      </c>
      <c r="E160" s="19" t="str">
        <f aca="false">IF(Transações!E160&lt;&gt;"",Transações!E160,"")</f>
        <v/>
      </c>
      <c r="F160" s="12" t="str">
        <f aca="false">IF(C160="Compra",D160*E160,IF(C160="Staking",D160*E160,""))</f>
        <v/>
      </c>
      <c r="G160" s="12" t="str">
        <f aca="false">IF(C160="Venda",IF(COUNTIF(A$3:A159,A160)&gt;0,(E160-SUMPRODUCT((A$3:A159=A160)*(C$3:C159="Compra")*F$3:F159)/IF(SUMPRODUCT((A$3:A159=A160)*(C$3:C159="Compra")*D$3:D159)=0,1,SUMPRODUCT((A$3:A159=A160)*(C$3:C159="Compra")*D$3:D159)))*D160,0),"")</f>
        <v/>
      </c>
      <c r="H160" s="12" t="str">
        <f aca="false">IF(C160="Venda",E160*D160,"")</f>
        <v/>
      </c>
    </row>
    <row r="161" customFormat="false" ht="15" hidden="false" customHeight="false" outlineLevel="0" collapsed="false">
      <c r="A161" s="14" t="str">
        <f aca="false">IF(Transações!C161&lt;&gt;"",Transações!C161,"")</f>
        <v/>
      </c>
      <c r="B161" s="14" t="str">
        <f aca="false">IF(Transações!A161&lt;&gt;"",Transações!A161,"")</f>
        <v/>
      </c>
      <c r="C161" s="14" t="str">
        <f aca="false">IF(Transações!B161&lt;&gt;"",Transações!B161,"")</f>
        <v/>
      </c>
      <c r="D161" s="15" t="str">
        <f aca="false">IF(Transações!D161&lt;&gt;"",Transações!D161,"")</f>
        <v/>
      </c>
      <c r="E161" s="16" t="str">
        <f aca="false">IF(Transações!E161&lt;&gt;"",Transações!E161,"")</f>
        <v/>
      </c>
      <c r="F161" s="7" t="str">
        <f aca="false">IF(C161="Compra",D161*E161,IF(C161="Staking",D161*E161,""))</f>
        <v/>
      </c>
      <c r="G161" s="7" t="str">
        <f aca="false">IF(C161="Venda",IF(COUNTIF(A$3:A160,A161)&gt;0,(E161-SUMPRODUCT((A$3:A160=A161)*(C$3:C160="Compra")*F$3:F160)/IF(SUMPRODUCT((A$3:A160=A161)*(C$3:C160="Compra")*D$3:D160)=0,1,SUMPRODUCT((A$3:A160=A161)*(C$3:C160="Compra")*D$3:D160)))*D161,0),"")</f>
        <v/>
      </c>
      <c r="H161" s="7" t="str">
        <f aca="false">IF(C161="Venda",E161*D161,"")</f>
        <v/>
      </c>
    </row>
    <row r="162" customFormat="false" ht="15" hidden="false" customHeight="false" outlineLevel="0" collapsed="false">
      <c r="A162" s="17" t="str">
        <f aca="false">IF(Transações!C162&lt;&gt;"",Transações!C162,"")</f>
        <v/>
      </c>
      <c r="B162" s="17" t="str">
        <f aca="false">IF(Transações!A162&lt;&gt;"",Transações!A162,"")</f>
        <v/>
      </c>
      <c r="C162" s="17" t="str">
        <f aca="false">IF(Transações!B162&lt;&gt;"",Transações!B162,"")</f>
        <v/>
      </c>
      <c r="D162" s="18" t="str">
        <f aca="false">IF(Transações!D162&lt;&gt;"",Transações!D162,"")</f>
        <v/>
      </c>
      <c r="E162" s="19" t="str">
        <f aca="false">IF(Transações!E162&lt;&gt;"",Transações!E162,"")</f>
        <v/>
      </c>
      <c r="F162" s="12" t="str">
        <f aca="false">IF(C162="Compra",D162*E162,IF(C162="Staking",D162*E162,""))</f>
        <v/>
      </c>
      <c r="G162" s="12" t="str">
        <f aca="false">IF(C162="Venda",IF(COUNTIF(A$3:A161,A162)&gt;0,(E162-SUMPRODUCT((A$3:A161=A162)*(C$3:C161="Compra")*F$3:F161)/IF(SUMPRODUCT((A$3:A161=A162)*(C$3:C161="Compra")*D$3:D161)=0,1,SUMPRODUCT((A$3:A161=A162)*(C$3:C161="Compra")*D$3:D161)))*D162,0),"")</f>
        <v/>
      </c>
      <c r="H162" s="12" t="str">
        <f aca="false">IF(C162="Venda",E162*D162,"")</f>
        <v/>
      </c>
    </row>
    <row r="163" customFormat="false" ht="15" hidden="false" customHeight="false" outlineLevel="0" collapsed="false">
      <c r="A163" s="14" t="str">
        <f aca="false">IF(Transações!C163&lt;&gt;"",Transações!C163,"")</f>
        <v/>
      </c>
      <c r="B163" s="14" t="str">
        <f aca="false">IF(Transações!A163&lt;&gt;"",Transações!A163,"")</f>
        <v/>
      </c>
      <c r="C163" s="14" t="str">
        <f aca="false">IF(Transações!B163&lt;&gt;"",Transações!B163,"")</f>
        <v/>
      </c>
      <c r="D163" s="15" t="str">
        <f aca="false">IF(Transações!D163&lt;&gt;"",Transações!D163,"")</f>
        <v/>
      </c>
      <c r="E163" s="16" t="str">
        <f aca="false">IF(Transações!E163&lt;&gt;"",Transações!E163,"")</f>
        <v/>
      </c>
      <c r="F163" s="7" t="str">
        <f aca="false">IF(C163="Compra",D163*E163,IF(C163="Staking",D163*E163,""))</f>
        <v/>
      </c>
      <c r="G163" s="7" t="str">
        <f aca="false">IF(C163="Venda",IF(COUNTIF(A$3:A162,A163)&gt;0,(E163-SUMPRODUCT((A$3:A162=A163)*(C$3:C162="Compra")*F$3:F162)/IF(SUMPRODUCT((A$3:A162=A163)*(C$3:C162="Compra")*D$3:D162)=0,1,SUMPRODUCT((A$3:A162=A163)*(C$3:C162="Compra")*D$3:D162)))*D163,0),"")</f>
        <v/>
      </c>
      <c r="H163" s="7" t="str">
        <f aca="false">IF(C163="Venda",E163*D163,"")</f>
        <v/>
      </c>
    </row>
    <row r="164" customFormat="false" ht="15" hidden="false" customHeight="false" outlineLevel="0" collapsed="false">
      <c r="A164" s="17" t="str">
        <f aca="false">IF(Transações!C164&lt;&gt;"",Transações!C164,"")</f>
        <v/>
      </c>
      <c r="B164" s="17" t="str">
        <f aca="false">IF(Transações!A164&lt;&gt;"",Transações!A164,"")</f>
        <v/>
      </c>
      <c r="C164" s="17" t="str">
        <f aca="false">IF(Transações!B164&lt;&gt;"",Transações!B164,"")</f>
        <v/>
      </c>
      <c r="D164" s="18" t="str">
        <f aca="false">IF(Transações!D164&lt;&gt;"",Transações!D164,"")</f>
        <v/>
      </c>
      <c r="E164" s="19" t="str">
        <f aca="false">IF(Transações!E164&lt;&gt;"",Transações!E164,"")</f>
        <v/>
      </c>
      <c r="F164" s="12" t="str">
        <f aca="false">IF(C164="Compra",D164*E164,IF(C164="Staking",D164*E164,""))</f>
        <v/>
      </c>
      <c r="G164" s="12" t="str">
        <f aca="false">IF(C164="Venda",IF(COUNTIF(A$3:A163,A164)&gt;0,(E164-SUMPRODUCT((A$3:A163=A164)*(C$3:C163="Compra")*F$3:F163)/IF(SUMPRODUCT((A$3:A163=A164)*(C$3:C163="Compra")*D$3:D163)=0,1,SUMPRODUCT((A$3:A163=A164)*(C$3:C163="Compra")*D$3:D163)))*D164,0),"")</f>
        <v/>
      </c>
      <c r="H164" s="12" t="str">
        <f aca="false">IF(C164="Venda",E164*D164,"")</f>
        <v/>
      </c>
    </row>
    <row r="165" customFormat="false" ht="15" hidden="false" customHeight="false" outlineLevel="0" collapsed="false">
      <c r="A165" s="14" t="str">
        <f aca="false">IF(Transações!C165&lt;&gt;"",Transações!C165,"")</f>
        <v/>
      </c>
      <c r="B165" s="14" t="str">
        <f aca="false">IF(Transações!A165&lt;&gt;"",Transações!A165,"")</f>
        <v/>
      </c>
      <c r="C165" s="14" t="str">
        <f aca="false">IF(Transações!B165&lt;&gt;"",Transações!B165,"")</f>
        <v/>
      </c>
      <c r="D165" s="15" t="str">
        <f aca="false">IF(Transações!D165&lt;&gt;"",Transações!D165,"")</f>
        <v/>
      </c>
      <c r="E165" s="16" t="str">
        <f aca="false">IF(Transações!E165&lt;&gt;"",Transações!E165,"")</f>
        <v/>
      </c>
      <c r="F165" s="7" t="str">
        <f aca="false">IF(C165="Compra",D165*E165,IF(C165="Staking",D165*E165,""))</f>
        <v/>
      </c>
      <c r="G165" s="7" t="str">
        <f aca="false">IF(C165="Venda",IF(COUNTIF(A$3:A164,A165)&gt;0,(E165-SUMPRODUCT((A$3:A164=A165)*(C$3:C164="Compra")*F$3:F164)/IF(SUMPRODUCT((A$3:A164=A165)*(C$3:C164="Compra")*D$3:D164)=0,1,SUMPRODUCT((A$3:A164=A165)*(C$3:C164="Compra")*D$3:D164)))*D165,0),"")</f>
        <v/>
      </c>
      <c r="H165" s="7" t="str">
        <f aca="false">IF(C165="Venda",E165*D165,"")</f>
        <v/>
      </c>
    </row>
    <row r="166" customFormat="false" ht="15" hidden="false" customHeight="false" outlineLevel="0" collapsed="false">
      <c r="A166" s="17" t="str">
        <f aca="false">IF(Transações!C166&lt;&gt;"",Transações!C166,"")</f>
        <v/>
      </c>
      <c r="B166" s="17" t="str">
        <f aca="false">IF(Transações!A166&lt;&gt;"",Transações!A166,"")</f>
        <v/>
      </c>
      <c r="C166" s="17" t="str">
        <f aca="false">IF(Transações!B166&lt;&gt;"",Transações!B166,"")</f>
        <v/>
      </c>
      <c r="D166" s="18" t="str">
        <f aca="false">IF(Transações!D166&lt;&gt;"",Transações!D166,"")</f>
        <v/>
      </c>
      <c r="E166" s="19" t="str">
        <f aca="false">IF(Transações!E166&lt;&gt;"",Transações!E166,"")</f>
        <v/>
      </c>
      <c r="F166" s="12" t="str">
        <f aca="false">IF(C166="Compra",D166*E166,IF(C166="Staking",D166*E166,""))</f>
        <v/>
      </c>
      <c r="G166" s="12" t="str">
        <f aca="false">IF(C166="Venda",IF(COUNTIF(A$3:A165,A166)&gt;0,(E166-SUMPRODUCT((A$3:A165=A166)*(C$3:C165="Compra")*F$3:F165)/IF(SUMPRODUCT((A$3:A165=A166)*(C$3:C165="Compra")*D$3:D165)=0,1,SUMPRODUCT((A$3:A165=A166)*(C$3:C165="Compra")*D$3:D165)))*D166,0),"")</f>
        <v/>
      </c>
      <c r="H166" s="12" t="str">
        <f aca="false">IF(C166="Venda",E166*D166,"")</f>
        <v/>
      </c>
    </row>
    <row r="167" customFormat="false" ht="15" hidden="false" customHeight="false" outlineLevel="0" collapsed="false">
      <c r="A167" s="14" t="str">
        <f aca="false">IF(Transações!C167&lt;&gt;"",Transações!C167,"")</f>
        <v/>
      </c>
      <c r="B167" s="14" t="str">
        <f aca="false">IF(Transações!A167&lt;&gt;"",Transações!A167,"")</f>
        <v/>
      </c>
      <c r="C167" s="14" t="str">
        <f aca="false">IF(Transações!B167&lt;&gt;"",Transações!B167,"")</f>
        <v/>
      </c>
      <c r="D167" s="15" t="str">
        <f aca="false">IF(Transações!D167&lt;&gt;"",Transações!D167,"")</f>
        <v/>
      </c>
      <c r="E167" s="16" t="str">
        <f aca="false">IF(Transações!E167&lt;&gt;"",Transações!E167,"")</f>
        <v/>
      </c>
      <c r="F167" s="7" t="str">
        <f aca="false">IF(C167="Compra",D167*E167,IF(C167="Staking",D167*E167,""))</f>
        <v/>
      </c>
      <c r="G167" s="7" t="str">
        <f aca="false">IF(C167="Venda",IF(COUNTIF(A$3:A166,A167)&gt;0,(E167-SUMPRODUCT((A$3:A166=A167)*(C$3:C166="Compra")*F$3:F166)/IF(SUMPRODUCT((A$3:A166=A167)*(C$3:C166="Compra")*D$3:D166)=0,1,SUMPRODUCT((A$3:A166=A167)*(C$3:C166="Compra")*D$3:D166)))*D167,0),"")</f>
        <v/>
      </c>
      <c r="H167" s="7" t="str">
        <f aca="false">IF(C167="Venda",E167*D167,"")</f>
        <v/>
      </c>
    </row>
    <row r="168" customFormat="false" ht="15" hidden="false" customHeight="false" outlineLevel="0" collapsed="false">
      <c r="A168" s="17" t="str">
        <f aca="false">IF(Transações!C168&lt;&gt;"",Transações!C168,"")</f>
        <v/>
      </c>
      <c r="B168" s="17" t="str">
        <f aca="false">IF(Transações!A168&lt;&gt;"",Transações!A168,"")</f>
        <v/>
      </c>
      <c r="C168" s="17" t="str">
        <f aca="false">IF(Transações!B168&lt;&gt;"",Transações!B168,"")</f>
        <v/>
      </c>
      <c r="D168" s="18" t="str">
        <f aca="false">IF(Transações!D168&lt;&gt;"",Transações!D168,"")</f>
        <v/>
      </c>
      <c r="E168" s="19" t="str">
        <f aca="false">IF(Transações!E168&lt;&gt;"",Transações!E168,"")</f>
        <v/>
      </c>
      <c r="F168" s="12" t="str">
        <f aca="false">IF(C168="Compra",D168*E168,IF(C168="Staking",D168*E168,""))</f>
        <v/>
      </c>
      <c r="G168" s="12" t="str">
        <f aca="false">IF(C168="Venda",IF(COUNTIF(A$3:A167,A168)&gt;0,(E168-SUMPRODUCT((A$3:A167=A168)*(C$3:C167="Compra")*F$3:F167)/IF(SUMPRODUCT((A$3:A167=A168)*(C$3:C167="Compra")*D$3:D167)=0,1,SUMPRODUCT((A$3:A167=A168)*(C$3:C167="Compra")*D$3:D167)))*D168,0),"")</f>
        <v/>
      </c>
      <c r="H168" s="12" t="str">
        <f aca="false">IF(C168="Venda",E168*D168,"")</f>
        <v/>
      </c>
    </row>
    <row r="169" customFormat="false" ht="15" hidden="false" customHeight="false" outlineLevel="0" collapsed="false">
      <c r="A169" s="14" t="str">
        <f aca="false">IF(Transações!C169&lt;&gt;"",Transações!C169,"")</f>
        <v/>
      </c>
      <c r="B169" s="14" t="str">
        <f aca="false">IF(Transações!A169&lt;&gt;"",Transações!A169,"")</f>
        <v/>
      </c>
      <c r="C169" s="14" t="str">
        <f aca="false">IF(Transações!B169&lt;&gt;"",Transações!B169,"")</f>
        <v/>
      </c>
      <c r="D169" s="15" t="str">
        <f aca="false">IF(Transações!D169&lt;&gt;"",Transações!D169,"")</f>
        <v/>
      </c>
      <c r="E169" s="16" t="str">
        <f aca="false">IF(Transações!E169&lt;&gt;"",Transações!E169,"")</f>
        <v/>
      </c>
      <c r="F169" s="7" t="str">
        <f aca="false">IF(C169="Compra",D169*E169,IF(C169="Staking",D169*E169,""))</f>
        <v/>
      </c>
      <c r="G169" s="7" t="str">
        <f aca="false">IF(C169="Venda",IF(COUNTIF(A$3:A168,A169)&gt;0,(E169-SUMPRODUCT((A$3:A168=A169)*(C$3:C168="Compra")*F$3:F168)/IF(SUMPRODUCT((A$3:A168=A169)*(C$3:C168="Compra")*D$3:D168)=0,1,SUMPRODUCT((A$3:A168=A169)*(C$3:C168="Compra")*D$3:D168)))*D169,0),"")</f>
        <v/>
      </c>
      <c r="H169" s="7" t="str">
        <f aca="false">IF(C169="Venda",E169*D169,"")</f>
        <v/>
      </c>
    </row>
    <row r="170" customFormat="false" ht="15" hidden="false" customHeight="false" outlineLevel="0" collapsed="false">
      <c r="A170" s="17" t="str">
        <f aca="false">IF(Transações!C170&lt;&gt;"",Transações!C170,"")</f>
        <v/>
      </c>
      <c r="B170" s="17" t="str">
        <f aca="false">IF(Transações!A170&lt;&gt;"",Transações!A170,"")</f>
        <v/>
      </c>
      <c r="C170" s="17" t="str">
        <f aca="false">IF(Transações!B170&lt;&gt;"",Transações!B170,"")</f>
        <v/>
      </c>
      <c r="D170" s="18" t="str">
        <f aca="false">IF(Transações!D170&lt;&gt;"",Transações!D170,"")</f>
        <v/>
      </c>
      <c r="E170" s="19" t="str">
        <f aca="false">IF(Transações!E170&lt;&gt;"",Transações!E170,"")</f>
        <v/>
      </c>
      <c r="F170" s="12" t="str">
        <f aca="false">IF(C170="Compra",D170*E170,IF(C170="Staking",D170*E170,""))</f>
        <v/>
      </c>
      <c r="G170" s="12" t="str">
        <f aca="false">IF(C170="Venda",IF(COUNTIF(A$3:A169,A170)&gt;0,(E170-SUMPRODUCT((A$3:A169=A170)*(C$3:C169="Compra")*F$3:F169)/IF(SUMPRODUCT((A$3:A169=A170)*(C$3:C169="Compra")*D$3:D169)=0,1,SUMPRODUCT((A$3:A169=A170)*(C$3:C169="Compra")*D$3:D169)))*D170,0),"")</f>
        <v/>
      </c>
      <c r="H170" s="12" t="str">
        <f aca="false">IF(C170="Venda",E170*D170,"")</f>
        <v/>
      </c>
    </row>
    <row r="171" customFormat="false" ht="15" hidden="false" customHeight="false" outlineLevel="0" collapsed="false">
      <c r="A171" s="14" t="str">
        <f aca="false">IF(Transações!C171&lt;&gt;"",Transações!C171,"")</f>
        <v/>
      </c>
      <c r="B171" s="14" t="str">
        <f aca="false">IF(Transações!A171&lt;&gt;"",Transações!A171,"")</f>
        <v/>
      </c>
      <c r="C171" s="14" t="str">
        <f aca="false">IF(Transações!B171&lt;&gt;"",Transações!B171,"")</f>
        <v/>
      </c>
      <c r="D171" s="15" t="str">
        <f aca="false">IF(Transações!D171&lt;&gt;"",Transações!D171,"")</f>
        <v/>
      </c>
      <c r="E171" s="16" t="str">
        <f aca="false">IF(Transações!E171&lt;&gt;"",Transações!E171,"")</f>
        <v/>
      </c>
      <c r="F171" s="7" t="str">
        <f aca="false">IF(C171="Compra",D171*E171,IF(C171="Staking",D171*E171,""))</f>
        <v/>
      </c>
      <c r="G171" s="7" t="str">
        <f aca="false">IF(C171="Venda",IF(COUNTIF(A$3:A170,A171)&gt;0,(E171-SUMPRODUCT((A$3:A170=A171)*(C$3:C170="Compra")*F$3:F170)/IF(SUMPRODUCT((A$3:A170=A171)*(C$3:C170="Compra")*D$3:D170)=0,1,SUMPRODUCT((A$3:A170=A171)*(C$3:C170="Compra")*D$3:D170)))*D171,0),"")</f>
        <v/>
      </c>
      <c r="H171" s="7" t="str">
        <f aca="false">IF(C171="Venda",E171*D171,"")</f>
        <v/>
      </c>
    </row>
    <row r="172" customFormat="false" ht="15" hidden="false" customHeight="false" outlineLevel="0" collapsed="false">
      <c r="A172" s="17" t="str">
        <f aca="false">IF(Transações!C172&lt;&gt;"",Transações!C172,"")</f>
        <v/>
      </c>
      <c r="B172" s="17" t="str">
        <f aca="false">IF(Transações!A172&lt;&gt;"",Transações!A172,"")</f>
        <v/>
      </c>
      <c r="C172" s="17" t="str">
        <f aca="false">IF(Transações!B172&lt;&gt;"",Transações!B172,"")</f>
        <v/>
      </c>
      <c r="D172" s="18" t="str">
        <f aca="false">IF(Transações!D172&lt;&gt;"",Transações!D172,"")</f>
        <v/>
      </c>
      <c r="E172" s="19" t="str">
        <f aca="false">IF(Transações!E172&lt;&gt;"",Transações!E172,"")</f>
        <v/>
      </c>
      <c r="F172" s="12" t="str">
        <f aca="false">IF(C172="Compra",D172*E172,IF(C172="Staking",D172*E172,""))</f>
        <v/>
      </c>
      <c r="G172" s="12" t="str">
        <f aca="false">IF(C172="Venda",IF(COUNTIF(A$3:A171,A172)&gt;0,(E172-SUMPRODUCT((A$3:A171=A172)*(C$3:C171="Compra")*F$3:F171)/IF(SUMPRODUCT((A$3:A171=A172)*(C$3:C171="Compra")*D$3:D171)=0,1,SUMPRODUCT((A$3:A171=A172)*(C$3:C171="Compra")*D$3:D171)))*D172,0),"")</f>
        <v/>
      </c>
      <c r="H172" s="12" t="str">
        <f aca="false">IF(C172="Venda",E172*D172,"")</f>
        <v/>
      </c>
    </row>
    <row r="173" customFormat="false" ht="15" hidden="false" customHeight="false" outlineLevel="0" collapsed="false">
      <c r="A173" s="14" t="str">
        <f aca="false">IF(Transações!C173&lt;&gt;"",Transações!C173,"")</f>
        <v/>
      </c>
      <c r="B173" s="14" t="str">
        <f aca="false">IF(Transações!A173&lt;&gt;"",Transações!A173,"")</f>
        <v/>
      </c>
      <c r="C173" s="14" t="str">
        <f aca="false">IF(Transações!B173&lt;&gt;"",Transações!B173,"")</f>
        <v/>
      </c>
      <c r="D173" s="15" t="str">
        <f aca="false">IF(Transações!D173&lt;&gt;"",Transações!D173,"")</f>
        <v/>
      </c>
      <c r="E173" s="16" t="str">
        <f aca="false">IF(Transações!E173&lt;&gt;"",Transações!E173,"")</f>
        <v/>
      </c>
      <c r="F173" s="7" t="str">
        <f aca="false">IF(C173="Compra",D173*E173,IF(C173="Staking",D173*E173,""))</f>
        <v/>
      </c>
      <c r="G173" s="7" t="str">
        <f aca="false">IF(C173="Venda",IF(COUNTIF(A$3:A172,A173)&gt;0,(E173-SUMPRODUCT((A$3:A172=A173)*(C$3:C172="Compra")*F$3:F172)/IF(SUMPRODUCT((A$3:A172=A173)*(C$3:C172="Compra")*D$3:D172)=0,1,SUMPRODUCT((A$3:A172=A173)*(C$3:C172="Compra")*D$3:D172)))*D173,0),"")</f>
        <v/>
      </c>
      <c r="H173" s="7" t="str">
        <f aca="false">IF(C173="Venda",E173*D173,"")</f>
        <v/>
      </c>
    </row>
    <row r="174" customFormat="false" ht="15" hidden="false" customHeight="false" outlineLevel="0" collapsed="false">
      <c r="A174" s="17" t="str">
        <f aca="false">IF(Transações!C174&lt;&gt;"",Transações!C174,"")</f>
        <v/>
      </c>
      <c r="B174" s="17" t="str">
        <f aca="false">IF(Transações!A174&lt;&gt;"",Transações!A174,"")</f>
        <v/>
      </c>
      <c r="C174" s="17" t="str">
        <f aca="false">IF(Transações!B174&lt;&gt;"",Transações!B174,"")</f>
        <v/>
      </c>
      <c r="D174" s="18" t="str">
        <f aca="false">IF(Transações!D174&lt;&gt;"",Transações!D174,"")</f>
        <v/>
      </c>
      <c r="E174" s="19" t="str">
        <f aca="false">IF(Transações!E174&lt;&gt;"",Transações!E174,"")</f>
        <v/>
      </c>
      <c r="F174" s="12" t="str">
        <f aca="false">IF(C174="Compra",D174*E174,IF(C174="Staking",D174*E174,""))</f>
        <v/>
      </c>
      <c r="G174" s="12" t="str">
        <f aca="false">IF(C174="Venda",IF(COUNTIF(A$3:A173,A174)&gt;0,(E174-SUMPRODUCT((A$3:A173=A174)*(C$3:C173="Compra")*F$3:F173)/IF(SUMPRODUCT((A$3:A173=A174)*(C$3:C173="Compra")*D$3:D173)=0,1,SUMPRODUCT((A$3:A173=A174)*(C$3:C173="Compra")*D$3:D173)))*D174,0),"")</f>
        <v/>
      </c>
      <c r="H174" s="12" t="str">
        <f aca="false">IF(C174="Venda",E174*D174,"")</f>
        <v/>
      </c>
    </row>
    <row r="175" customFormat="false" ht="15" hidden="false" customHeight="false" outlineLevel="0" collapsed="false">
      <c r="A175" s="14" t="str">
        <f aca="false">IF(Transações!C175&lt;&gt;"",Transações!C175,"")</f>
        <v/>
      </c>
      <c r="B175" s="14" t="str">
        <f aca="false">IF(Transações!A175&lt;&gt;"",Transações!A175,"")</f>
        <v/>
      </c>
      <c r="C175" s="14" t="str">
        <f aca="false">IF(Transações!B175&lt;&gt;"",Transações!B175,"")</f>
        <v/>
      </c>
      <c r="D175" s="15" t="str">
        <f aca="false">IF(Transações!D175&lt;&gt;"",Transações!D175,"")</f>
        <v/>
      </c>
      <c r="E175" s="16" t="str">
        <f aca="false">IF(Transações!E175&lt;&gt;"",Transações!E175,"")</f>
        <v/>
      </c>
      <c r="F175" s="7" t="str">
        <f aca="false">IF(C175="Compra",D175*E175,IF(C175="Staking",D175*E175,""))</f>
        <v/>
      </c>
      <c r="G175" s="7" t="str">
        <f aca="false">IF(C175="Venda",IF(COUNTIF(A$3:A174,A175)&gt;0,(E175-SUMPRODUCT((A$3:A174=A175)*(C$3:C174="Compra")*F$3:F174)/IF(SUMPRODUCT((A$3:A174=A175)*(C$3:C174="Compra")*D$3:D174)=0,1,SUMPRODUCT((A$3:A174=A175)*(C$3:C174="Compra")*D$3:D174)))*D175,0),"")</f>
        <v/>
      </c>
      <c r="H175" s="7" t="str">
        <f aca="false">IF(C175="Venda",E175*D175,"")</f>
        <v/>
      </c>
    </row>
    <row r="176" customFormat="false" ht="15" hidden="false" customHeight="false" outlineLevel="0" collapsed="false">
      <c r="A176" s="17" t="str">
        <f aca="false">IF(Transações!C176&lt;&gt;"",Transações!C176,"")</f>
        <v/>
      </c>
      <c r="B176" s="17" t="str">
        <f aca="false">IF(Transações!A176&lt;&gt;"",Transações!A176,"")</f>
        <v/>
      </c>
      <c r="C176" s="17" t="str">
        <f aca="false">IF(Transações!B176&lt;&gt;"",Transações!B176,"")</f>
        <v/>
      </c>
      <c r="D176" s="18" t="str">
        <f aca="false">IF(Transações!D176&lt;&gt;"",Transações!D176,"")</f>
        <v/>
      </c>
      <c r="E176" s="19" t="str">
        <f aca="false">IF(Transações!E176&lt;&gt;"",Transações!E176,"")</f>
        <v/>
      </c>
      <c r="F176" s="12" t="str">
        <f aca="false">IF(C176="Compra",D176*E176,IF(C176="Staking",D176*E176,""))</f>
        <v/>
      </c>
      <c r="G176" s="12" t="str">
        <f aca="false">IF(C176="Venda",IF(COUNTIF(A$3:A175,A176)&gt;0,(E176-SUMPRODUCT((A$3:A175=A176)*(C$3:C175="Compra")*F$3:F175)/IF(SUMPRODUCT((A$3:A175=A176)*(C$3:C175="Compra")*D$3:D175)=0,1,SUMPRODUCT((A$3:A175=A176)*(C$3:C175="Compra")*D$3:D175)))*D176,0),"")</f>
        <v/>
      </c>
      <c r="H176" s="12" t="str">
        <f aca="false">IF(C176="Venda",E176*D176,"")</f>
        <v/>
      </c>
    </row>
    <row r="177" customFormat="false" ht="15" hidden="false" customHeight="false" outlineLevel="0" collapsed="false">
      <c r="A177" s="14" t="str">
        <f aca="false">IF(Transações!C177&lt;&gt;"",Transações!C177,"")</f>
        <v/>
      </c>
      <c r="B177" s="14" t="str">
        <f aca="false">IF(Transações!A177&lt;&gt;"",Transações!A177,"")</f>
        <v/>
      </c>
      <c r="C177" s="14" t="str">
        <f aca="false">IF(Transações!B177&lt;&gt;"",Transações!B177,"")</f>
        <v/>
      </c>
      <c r="D177" s="15" t="str">
        <f aca="false">IF(Transações!D177&lt;&gt;"",Transações!D177,"")</f>
        <v/>
      </c>
      <c r="E177" s="16" t="str">
        <f aca="false">IF(Transações!E177&lt;&gt;"",Transações!E177,"")</f>
        <v/>
      </c>
      <c r="F177" s="7" t="str">
        <f aca="false">IF(C177="Compra",D177*E177,IF(C177="Staking",D177*E177,""))</f>
        <v/>
      </c>
      <c r="G177" s="7" t="str">
        <f aca="false">IF(C177="Venda",IF(COUNTIF(A$3:A176,A177)&gt;0,(E177-SUMPRODUCT((A$3:A176=A177)*(C$3:C176="Compra")*F$3:F176)/IF(SUMPRODUCT((A$3:A176=A177)*(C$3:C176="Compra")*D$3:D176)=0,1,SUMPRODUCT((A$3:A176=A177)*(C$3:C176="Compra")*D$3:D176)))*D177,0),"")</f>
        <v/>
      </c>
      <c r="H177" s="7" t="str">
        <f aca="false">IF(C177="Venda",E177*D177,"")</f>
        <v/>
      </c>
    </row>
    <row r="178" customFormat="false" ht="15" hidden="false" customHeight="false" outlineLevel="0" collapsed="false">
      <c r="A178" s="17" t="str">
        <f aca="false">IF(Transações!C178&lt;&gt;"",Transações!C178,"")</f>
        <v/>
      </c>
      <c r="B178" s="17" t="str">
        <f aca="false">IF(Transações!A178&lt;&gt;"",Transações!A178,"")</f>
        <v/>
      </c>
      <c r="C178" s="17" t="str">
        <f aca="false">IF(Transações!B178&lt;&gt;"",Transações!B178,"")</f>
        <v/>
      </c>
      <c r="D178" s="18" t="str">
        <f aca="false">IF(Transações!D178&lt;&gt;"",Transações!D178,"")</f>
        <v/>
      </c>
      <c r="E178" s="19" t="str">
        <f aca="false">IF(Transações!E178&lt;&gt;"",Transações!E178,"")</f>
        <v/>
      </c>
      <c r="F178" s="12" t="str">
        <f aca="false">IF(C178="Compra",D178*E178,IF(C178="Staking",D178*E178,""))</f>
        <v/>
      </c>
      <c r="G178" s="12" t="str">
        <f aca="false">IF(C178="Venda",IF(COUNTIF(A$3:A177,A178)&gt;0,(E178-SUMPRODUCT((A$3:A177=A178)*(C$3:C177="Compra")*F$3:F177)/IF(SUMPRODUCT((A$3:A177=A178)*(C$3:C177="Compra")*D$3:D177)=0,1,SUMPRODUCT((A$3:A177=A178)*(C$3:C177="Compra")*D$3:D177)))*D178,0),"")</f>
        <v/>
      </c>
      <c r="H178" s="12" t="str">
        <f aca="false">IF(C178="Venda",E178*D178,"")</f>
        <v/>
      </c>
    </row>
    <row r="179" customFormat="false" ht="15" hidden="false" customHeight="false" outlineLevel="0" collapsed="false">
      <c r="A179" s="14" t="str">
        <f aca="false">IF(Transações!C179&lt;&gt;"",Transações!C179,"")</f>
        <v/>
      </c>
      <c r="B179" s="14" t="str">
        <f aca="false">IF(Transações!A179&lt;&gt;"",Transações!A179,"")</f>
        <v/>
      </c>
      <c r="C179" s="14" t="str">
        <f aca="false">IF(Transações!B179&lt;&gt;"",Transações!B179,"")</f>
        <v/>
      </c>
      <c r="D179" s="15" t="str">
        <f aca="false">IF(Transações!D179&lt;&gt;"",Transações!D179,"")</f>
        <v/>
      </c>
      <c r="E179" s="16" t="str">
        <f aca="false">IF(Transações!E179&lt;&gt;"",Transações!E179,"")</f>
        <v/>
      </c>
      <c r="F179" s="7" t="str">
        <f aca="false">IF(C179="Compra",D179*E179,IF(C179="Staking",D179*E179,""))</f>
        <v/>
      </c>
      <c r="G179" s="7" t="str">
        <f aca="false">IF(C179="Venda",IF(COUNTIF(A$3:A178,A179)&gt;0,(E179-SUMPRODUCT((A$3:A178=A179)*(C$3:C178="Compra")*F$3:F178)/IF(SUMPRODUCT((A$3:A178=A179)*(C$3:C178="Compra")*D$3:D178)=0,1,SUMPRODUCT((A$3:A178=A179)*(C$3:C178="Compra")*D$3:D178)))*D179,0),"")</f>
        <v/>
      </c>
      <c r="H179" s="7" t="str">
        <f aca="false">IF(C179="Venda",E179*D179,"")</f>
        <v/>
      </c>
    </row>
    <row r="180" customFormat="false" ht="15" hidden="false" customHeight="false" outlineLevel="0" collapsed="false">
      <c r="A180" s="17" t="str">
        <f aca="false">IF(Transações!C180&lt;&gt;"",Transações!C180,"")</f>
        <v/>
      </c>
      <c r="B180" s="17" t="str">
        <f aca="false">IF(Transações!A180&lt;&gt;"",Transações!A180,"")</f>
        <v/>
      </c>
      <c r="C180" s="17" t="str">
        <f aca="false">IF(Transações!B180&lt;&gt;"",Transações!B180,"")</f>
        <v/>
      </c>
      <c r="D180" s="18" t="str">
        <f aca="false">IF(Transações!D180&lt;&gt;"",Transações!D180,"")</f>
        <v/>
      </c>
      <c r="E180" s="19" t="str">
        <f aca="false">IF(Transações!E180&lt;&gt;"",Transações!E180,"")</f>
        <v/>
      </c>
      <c r="F180" s="12" t="str">
        <f aca="false">IF(C180="Compra",D180*E180,IF(C180="Staking",D180*E180,""))</f>
        <v/>
      </c>
      <c r="G180" s="12" t="str">
        <f aca="false">IF(C180="Venda",IF(COUNTIF(A$3:A179,A180)&gt;0,(E180-SUMPRODUCT((A$3:A179=A180)*(C$3:C179="Compra")*F$3:F179)/IF(SUMPRODUCT((A$3:A179=A180)*(C$3:C179="Compra")*D$3:D179)=0,1,SUMPRODUCT((A$3:A179=A180)*(C$3:C179="Compra")*D$3:D179)))*D180,0),"")</f>
        <v/>
      </c>
      <c r="H180" s="12" t="str">
        <f aca="false">IF(C180="Venda",E180*D180,"")</f>
        <v/>
      </c>
    </row>
    <row r="181" customFormat="false" ht="15" hidden="false" customHeight="false" outlineLevel="0" collapsed="false">
      <c r="A181" s="14" t="str">
        <f aca="false">IF(Transações!C181&lt;&gt;"",Transações!C181,"")</f>
        <v/>
      </c>
      <c r="B181" s="14" t="str">
        <f aca="false">IF(Transações!A181&lt;&gt;"",Transações!A181,"")</f>
        <v/>
      </c>
      <c r="C181" s="14" t="str">
        <f aca="false">IF(Transações!B181&lt;&gt;"",Transações!B181,"")</f>
        <v/>
      </c>
      <c r="D181" s="15" t="str">
        <f aca="false">IF(Transações!D181&lt;&gt;"",Transações!D181,"")</f>
        <v/>
      </c>
      <c r="E181" s="16" t="str">
        <f aca="false">IF(Transações!E181&lt;&gt;"",Transações!E181,"")</f>
        <v/>
      </c>
      <c r="F181" s="7" t="str">
        <f aca="false">IF(C181="Compra",D181*E181,IF(C181="Staking",D181*E181,""))</f>
        <v/>
      </c>
      <c r="G181" s="7" t="str">
        <f aca="false">IF(C181="Venda",IF(COUNTIF(A$3:A180,A181)&gt;0,(E181-SUMPRODUCT((A$3:A180=A181)*(C$3:C180="Compra")*F$3:F180)/IF(SUMPRODUCT((A$3:A180=A181)*(C$3:C180="Compra")*D$3:D180)=0,1,SUMPRODUCT((A$3:A180=A181)*(C$3:C180="Compra")*D$3:D180)))*D181,0),"")</f>
        <v/>
      </c>
      <c r="H181" s="7" t="str">
        <f aca="false">IF(C181="Venda",E181*D181,"")</f>
        <v/>
      </c>
    </row>
    <row r="182" customFormat="false" ht="15" hidden="false" customHeight="false" outlineLevel="0" collapsed="false">
      <c r="A182" s="17" t="str">
        <f aca="false">IF(Transações!C182&lt;&gt;"",Transações!C182,"")</f>
        <v/>
      </c>
      <c r="B182" s="17" t="str">
        <f aca="false">IF(Transações!A182&lt;&gt;"",Transações!A182,"")</f>
        <v/>
      </c>
      <c r="C182" s="17" t="str">
        <f aca="false">IF(Transações!B182&lt;&gt;"",Transações!B182,"")</f>
        <v/>
      </c>
      <c r="D182" s="18" t="str">
        <f aca="false">IF(Transações!D182&lt;&gt;"",Transações!D182,"")</f>
        <v/>
      </c>
      <c r="E182" s="19" t="str">
        <f aca="false">IF(Transações!E182&lt;&gt;"",Transações!E182,"")</f>
        <v/>
      </c>
      <c r="F182" s="12" t="str">
        <f aca="false">IF(C182="Compra",D182*E182,IF(C182="Staking",D182*E182,""))</f>
        <v/>
      </c>
      <c r="G182" s="12" t="str">
        <f aca="false">IF(C182="Venda",IF(COUNTIF(A$3:A181,A182)&gt;0,(E182-SUMPRODUCT((A$3:A181=A182)*(C$3:C181="Compra")*F$3:F181)/IF(SUMPRODUCT((A$3:A181=A182)*(C$3:C181="Compra")*D$3:D181)=0,1,SUMPRODUCT((A$3:A181=A182)*(C$3:C181="Compra")*D$3:D181)))*D182,0),"")</f>
        <v/>
      </c>
      <c r="H182" s="12" t="str">
        <f aca="false">IF(C182="Venda",E182*D182,"")</f>
        <v/>
      </c>
    </row>
    <row r="183" customFormat="false" ht="15" hidden="false" customHeight="false" outlineLevel="0" collapsed="false">
      <c r="A183" s="14" t="str">
        <f aca="false">IF(Transações!C183&lt;&gt;"",Transações!C183,"")</f>
        <v/>
      </c>
      <c r="B183" s="14" t="str">
        <f aca="false">IF(Transações!A183&lt;&gt;"",Transações!A183,"")</f>
        <v/>
      </c>
      <c r="C183" s="14" t="str">
        <f aca="false">IF(Transações!B183&lt;&gt;"",Transações!B183,"")</f>
        <v/>
      </c>
      <c r="D183" s="15" t="str">
        <f aca="false">IF(Transações!D183&lt;&gt;"",Transações!D183,"")</f>
        <v/>
      </c>
      <c r="E183" s="16" t="str">
        <f aca="false">IF(Transações!E183&lt;&gt;"",Transações!E183,"")</f>
        <v/>
      </c>
      <c r="F183" s="7" t="str">
        <f aca="false">IF(C183="Compra",D183*E183,IF(C183="Staking",D183*E183,""))</f>
        <v/>
      </c>
      <c r="G183" s="7" t="str">
        <f aca="false">IF(C183="Venda",IF(COUNTIF(A$3:A182,A183)&gt;0,(E183-SUMPRODUCT((A$3:A182=A183)*(C$3:C182="Compra")*F$3:F182)/IF(SUMPRODUCT((A$3:A182=A183)*(C$3:C182="Compra")*D$3:D182)=0,1,SUMPRODUCT((A$3:A182=A183)*(C$3:C182="Compra")*D$3:D182)))*D183,0),"")</f>
        <v/>
      </c>
      <c r="H183" s="7" t="str">
        <f aca="false">IF(C183="Venda",E183*D183,"")</f>
        <v/>
      </c>
    </row>
    <row r="184" customFormat="false" ht="15" hidden="false" customHeight="false" outlineLevel="0" collapsed="false">
      <c r="A184" s="17" t="str">
        <f aca="false">IF(Transações!C184&lt;&gt;"",Transações!C184,"")</f>
        <v/>
      </c>
      <c r="B184" s="17" t="str">
        <f aca="false">IF(Transações!A184&lt;&gt;"",Transações!A184,"")</f>
        <v/>
      </c>
      <c r="C184" s="17" t="str">
        <f aca="false">IF(Transações!B184&lt;&gt;"",Transações!B184,"")</f>
        <v/>
      </c>
      <c r="D184" s="18" t="str">
        <f aca="false">IF(Transações!D184&lt;&gt;"",Transações!D184,"")</f>
        <v/>
      </c>
      <c r="E184" s="19" t="str">
        <f aca="false">IF(Transações!E184&lt;&gt;"",Transações!E184,"")</f>
        <v/>
      </c>
      <c r="F184" s="12" t="str">
        <f aca="false">IF(C184="Compra",D184*E184,IF(C184="Staking",D184*E184,""))</f>
        <v/>
      </c>
      <c r="G184" s="12" t="str">
        <f aca="false">IF(C184="Venda",IF(COUNTIF(A$3:A183,A184)&gt;0,(E184-SUMPRODUCT((A$3:A183=A184)*(C$3:C183="Compra")*F$3:F183)/IF(SUMPRODUCT((A$3:A183=A184)*(C$3:C183="Compra")*D$3:D183)=0,1,SUMPRODUCT((A$3:A183=A184)*(C$3:C183="Compra")*D$3:D183)))*D184,0),"")</f>
        <v/>
      </c>
      <c r="H184" s="12" t="str">
        <f aca="false">IF(C184="Venda",E184*D184,"")</f>
        <v/>
      </c>
    </row>
    <row r="185" customFormat="false" ht="15" hidden="false" customHeight="false" outlineLevel="0" collapsed="false">
      <c r="A185" s="14" t="str">
        <f aca="false">IF(Transações!C185&lt;&gt;"",Transações!C185,"")</f>
        <v/>
      </c>
      <c r="B185" s="14" t="str">
        <f aca="false">IF(Transações!A185&lt;&gt;"",Transações!A185,"")</f>
        <v/>
      </c>
      <c r="C185" s="14" t="str">
        <f aca="false">IF(Transações!B185&lt;&gt;"",Transações!B185,"")</f>
        <v/>
      </c>
      <c r="D185" s="15" t="str">
        <f aca="false">IF(Transações!D185&lt;&gt;"",Transações!D185,"")</f>
        <v/>
      </c>
      <c r="E185" s="16" t="str">
        <f aca="false">IF(Transações!E185&lt;&gt;"",Transações!E185,"")</f>
        <v/>
      </c>
      <c r="F185" s="7" t="str">
        <f aca="false">IF(C185="Compra",D185*E185,IF(C185="Staking",D185*E185,""))</f>
        <v/>
      </c>
      <c r="G185" s="7" t="str">
        <f aca="false">IF(C185="Venda",IF(COUNTIF(A$3:A184,A185)&gt;0,(E185-SUMPRODUCT((A$3:A184=A185)*(C$3:C184="Compra")*F$3:F184)/IF(SUMPRODUCT((A$3:A184=A185)*(C$3:C184="Compra")*D$3:D184)=0,1,SUMPRODUCT((A$3:A184=A185)*(C$3:C184="Compra")*D$3:D184)))*D185,0),"")</f>
        <v/>
      </c>
      <c r="H185" s="7" t="str">
        <f aca="false">IF(C185="Venda",E185*D185,"")</f>
        <v/>
      </c>
    </row>
    <row r="186" customFormat="false" ht="15" hidden="false" customHeight="false" outlineLevel="0" collapsed="false">
      <c r="A186" s="17" t="str">
        <f aca="false">IF(Transações!C186&lt;&gt;"",Transações!C186,"")</f>
        <v/>
      </c>
      <c r="B186" s="17" t="str">
        <f aca="false">IF(Transações!A186&lt;&gt;"",Transações!A186,"")</f>
        <v/>
      </c>
      <c r="C186" s="17" t="str">
        <f aca="false">IF(Transações!B186&lt;&gt;"",Transações!B186,"")</f>
        <v/>
      </c>
      <c r="D186" s="18" t="str">
        <f aca="false">IF(Transações!D186&lt;&gt;"",Transações!D186,"")</f>
        <v/>
      </c>
      <c r="E186" s="19" t="str">
        <f aca="false">IF(Transações!E186&lt;&gt;"",Transações!E186,"")</f>
        <v/>
      </c>
      <c r="F186" s="12" t="str">
        <f aca="false">IF(C186="Compra",D186*E186,IF(C186="Staking",D186*E186,""))</f>
        <v/>
      </c>
      <c r="G186" s="12" t="str">
        <f aca="false">IF(C186="Venda",IF(COUNTIF(A$3:A185,A186)&gt;0,(E186-SUMPRODUCT((A$3:A185=A186)*(C$3:C185="Compra")*F$3:F185)/IF(SUMPRODUCT((A$3:A185=A186)*(C$3:C185="Compra")*D$3:D185)=0,1,SUMPRODUCT((A$3:A185=A186)*(C$3:C185="Compra")*D$3:D185)))*D186,0),"")</f>
        <v/>
      </c>
      <c r="H186" s="12" t="str">
        <f aca="false">IF(C186="Venda",E186*D186,"")</f>
        <v/>
      </c>
    </row>
    <row r="187" customFormat="false" ht="15" hidden="false" customHeight="false" outlineLevel="0" collapsed="false">
      <c r="A187" s="14" t="str">
        <f aca="false">IF(Transações!C187&lt;&gt;"",Transações!C187,"")</f>
        <v/>
      </c>
      <c r="B187" s="14" t="str">
        <f aca="false">IF(Transações!A187&lt;&gt;"",Transações!A187,"")</f>
        <v/>
      </c>
      <c r="C187" s="14" t="str">
        <f aca="false">IF(Transações!B187&lt;&gt;"",Transações!B187,"")</f>
        <v/>
      </c>
      <c r="D187" s="15" t="str">
        <f aca="false">IF(Transações!D187&lt;&gt;"",Transações!D187,"")</f>
        <v/>
      </c>
      <c r="E187" s="16" t="str">
        <f aca="false">IF(Transações!E187&lt;&gt;"",Transações!E187,"")</f>
        <v/>
      </c>
      <c r="F187" s="7" t="str">
        <f aca="false">IF(C187="Compra",D187*E187,IF(C187="Staking",D187*E187,""))</f>
        <v/>
      </c>
      <c r="G187" s="7" t="str">
        <f aca="false">IF(C187="Venda",IF(COUNTIF(A$3:A186,A187)&gt;0,(E187-SUMPRODUCT((A$3:A186=A187)*(C$3:C186="Compra")*F$3:F186)/IF(SUMPRODUCT((A$3:A186=A187)*(C$3:C186="Compra")*D$3:D186)=0,1,SUMPRODUCT((A$3:A186=A187)*(C$3:C186="Compra")*D$3:D186)))*D187,0),"")</f>
        <v/>
      </c>
      <c r="H187" s="7" t="str">
        <f aca="false">IF(C187="Venda",E187*D187,"")</f>
        <v/>
      </c>
    </row>
    <row r="188" customFormat="false" ht="15" hidden="false" customHeight="false" outlineLevel="0" collapsed="false">
      <c r="A188" s="17" t="str">
        <f aca="false">IF(Transações!C188&lt;&gt;"",Transações!C188,"")</f>
        <v/>
      </c>
      <c r="B188" s="17" t="str">
        <f aca="false">IF(Transações!A188&lt;&gt;"",Transações!A188,"")</f>
        <v/>
      </c>
      <c r="C188" s="17" t="str">
        <f aca="false">IF(Transações!B188&lt;&gt;"",Transações!B188,"")</f>
        <v/>
      </c>
      <c r="D188" s="18" t="str">
        <f aca="false">IF(Transações!D188&lt;&gt;"",Transações!D188,"")</f>
        <v/>
      </c>
      <c r="E188" s="19" t="str">
        <f aca="false">IF(Transações!E188&lt;&gt;"",Transações!E188,"")</f>
        <v/>
      </c>
      <c r="F188" s="12" t="str">
        <f aca="false">IF(C188="Compra",D188*E188,IF(C188="Staking",D188*E188,""))</f>
        <v/>
      </c>
      <c r="G188" s="12" t="str">
        <f aca="false">IF(C188="Venda",IF(COUNTIF(A$3:A187,A188)&gt;0,(E188-SUMPRODUCT((A$3:A187=A188)*(C$3:C187="Compra")*F$3:F187)/IF(SUMPRODUCT((A$3:A187=A188)*(C$3:C187="Compra")*D$3:D187)=0,1,SUMPRODUCT((A$3:A187=A188)*(C$3:C187="Compra")*D$3:D187)))*D188,0),"")</f>
        <v/>
      </c>
      <c r="H188" s="12" t="str">
        <f aca="false">IF(C188="Venda",E188*D188,"")</f>
        <v/>
      </c>
    </row>
    <row r="189" customFormat="false" ht="15" hidden="false" customHeight="false" outlineLevel="0" collapsed="false">
      <c r="A189" s="14" t="str">
        <f aca="false">IF(Transações!C189&lt;&gt;"",Transações!C189,"")</f>
        <v/>
      </c>
      <c r="B189" s="14" t="str">
        <f aca="false">IF(Transações!A189&lt;&gt;"",Transações!A189,"")</f>
        <v/>
      </c>
      <c r="C189" s="14" t="str">
        <f aca="false">IF(Transações!B189&lt;&gt;"",Transações!B189,"")</f>
        <v/>
      </c>
      <c r="D189" s="15" t="str">
        <f aca="false">IF(Transações!D189&lt;&gt;"",Transações!D189,"")</f>
        <v/>
      </c>
      <c r="E189" s="16" t="str">
        <f aca="false">IF(Transações!E189&lt;&gt;"",Transações!E189,"")</f>
        <v/>
      </c>
      <c r="F189" s="7" t="str">
        <f aca="false">IF(C189="Compra",D189*E189,IF(C189="Staking",D189*E189,""))</f>
        <v/>
      </c>
      <c r="G189" s="7" t="str">
        <f aca="false">IF(C189="Venda",IF(COUNTIF(A$3:A188,A189)&gt;0,(E189-SUMPRODUCT((A$3:A188=A189)*(C$3:C188="Compra")*F$3:F188)/IF(SUMPRODUCT((A$3:A188=A189)*(C$3:C188="Compra")*D$3:D188)=0,1,SUMPRODUCT((A$3:A188=A189)*(C$3:C188="Compra")*D$3:D188)))*D189,0),"")</f>
        <v/>
      </c>
      <c r="H189" s="7" t="str">
        <f aca="false">IF(C189="Venda",E189*D189,"")</f>
        <v/>
      </c>
    </row>
    <row r="190" customFormat="false" ht="15" hidden="false" customHeight="false" outlineLevel="0" collapsed="false">
      <c r="A190" s="17" t="str">
        <f aca="false">IF(Transações!C190&lt;&gt;"",Transações!C190,"")</f>
        <v/>
      </c>
      <c r="B190" s="17" t="str">
        <f aca="false">IF(Transações!A190&lt;&gt;"",Transações!A190,"")</f>
        <v/>
      </c>
      <c r="C190" s="17" t="str">
        <f aca="false">IF(Transações!B190&lt;&gt;"",Transações!B190,"")</f>
        <v/>
      </c>
      <c r="D190" s="18" t="str">
        <f aca="false">IF(Transações!D190&lt;&gt;"",Transações!D190,"")</f>
        <v/>
      </c>
      <c r="E190" s="19" t="str">
        <f aca="false">IF(Transações!E190&lt;&gt;"",Transações!E190,"")</f>
        <v/>
      </c>
      <c r="F190" s="12" t="str">
        <f aca="false">IF(C190="Compra",D190*E190,IF(C190="Staking",D190*E190,""))</f>
        <v/>
      </c>
      <c r="G190" s="12" t="str">
        <f aca="false">IF(C190="Venda",IF(COUNTIF(A$3:A189,A190)&gt;0,(E190-SUMPRODUCT((A$3:A189=A190)*(C$3:C189="Compra")*F$3:F189)/IF(SUMPRODUCT((A$3:A189=A190)*(C$3:C189="Compra")*D$3:D189)=0,1,SUMPRODUCT((A$3:A189=A190)*(C$3:C189="Compra")*D$3:D189)))*D190,0),"")</f>
        <v/>
      </c>
      <c r="H190" s="12" t="str">
        <f aca="false">IF(C190="Venda",E190*D190,"")</f>
        <v/>
      </c>
    </row>
    <row r="191" customFormat="false" ht="15" hidden="false" customHeight="false" outlineLevel="0" collapsed="false">
      <c r="A191" s="14" t="str">
        <f aca="false">IF(Transações!C191&lt;&gt;"",Transações!C191,"")</f>
        <v/>
      </c>
      <c r="B191" s="14" t="str">
        <f aca="false">IF(Transações!A191&lt;&gt;"",Transações!A191,"")</f>
        <v/>
      </c>
      <c r="C191" s="14" t="str">
        <f aca="false">IF(Transações!B191&lt;&gt;"",Transações!B191,"")</f>
        <v/>
      </c>
      <c r="D191" s="15" t="str">
        <f aca="false">IF(Transações!D191&lt;&gt;"",Transações!D191,"")</f>
        <v/>
      </c>
      <c r="E191" s="16" t="str">
        <f aca="false">IF(Transações!E191&lt;&gt;"",Transações!E191,"")</f>
        <v/>
      </c>
      <c r="F191" s="7" t="str">
        <f aca="false">IF(C191="Compra",D191*E191,IF(C191="Staking",D191*E191,""))</f>
        <v/>
      </c>
      <c r="G191" s="7" t="str">
        <f aca="false">IF(C191="Venda",IF(COUNTIF(A$3:A190,A191)&gt;0,(E191-SUMPRODUCT((A$3:A190=A191)*(C$3:C190="Compra")*F$3:F190)/IF(SUMPRODUCT((A$3:A190=A191)*(C$3:C190="Compra")*D$3:D190)=0,1,SUMPRODUCT((A$3:A190=A191)*(C$3:C190="Compra")*D$3:D190)))*D191,0),"")</f>
        <v/>
      </c>
      <c r="H191" s="7" t="str">
        <f aca="false">IF(C191="Venda",E191*D191,"")</f>
        <v/>
      </c>
    </row>
    <row r="192" customFormat="false" ht="15" hidden="false" customHeight="false" outlineLevel="0" collapsed="false">
      <c r="A192" s="17" t="str">
        <f aca="false">IF(Transações!C192&lt;&gt;"",Transações!C192,"")</f>
        <v/>
      </c>
      <c r="B192" s="17" t="str">
        <f aca="false">IF(Transações!A192&lt;&gt;"",Transações!A192,"")</f>
        <v/>
      </c>
      <c r="C192" s="17" t="str">
        <f aca="false">IF(Transações!B192&lt;&gt;"",Transações!B192,"")</f>
        <v/>
      </c>
      <c r="D192" s="18" t="str">
        <f aca="false">IF(Transações!D192&lt;&gt;"",Transações!D192,"")</f>
        <v/>
      </c>
      <c r="E192" s="19" t="str">
        <f aca="false">IF(Transações!E192&lt;&gt;"",Transações!E192,"")</f>
        <v/>
      </c>
      <c r="F192" s="12" t="str">
        <f aca="false">IF(C192="Compra",D192*E192,IF(C192="Staking",D192*E192,""))</f>
        <v/>
      </c>
      <c r="G192" s="12" t="str">
        <f aca="false">IF(C192="Venda",IF(COUNTIF(A$3:A191,A192)&gt;0,(E192-SUMPRODUCT((A$3:A191=A192)*(C$3:C191="Compra")*F$3:F191)/IF(SUMPRODUCT((A$3:A191=A192)*(C$3:C191="Compra")*D$3:D191)=0,1,SUMPRODUCT((A$3:A191=A192)*(C$3:C191="Compra")*D$3:D191)))*D192,0),"")</f>
        <v/>
      </c>
      <c r="H192" s="12" t="str">
        <f aca="false">IF(C192="Venda",E192*D192,"")</f>
        <v/>
      </c>
    </row>
    <row r="193" customFormat="false" ht="15" hidden="false" customHeight="false" outlineLevel="0" collapsed="false">
      <c r="A193" s="14" t="str">
        <f aca="false">IF(Transações!C193&lt;&gt;"",Transações!C193,"")</f>
        <v/>
      </c>
      <c r="B193" s="14" t="str">
        <f aca="false">IF(Transações!A193&lt;&gt;"",Transações!A193,"")</f>
        <v/>
      </c>
      <c r="C193" s="14" t="str">
        <f aca="false">IF(Transações!B193&lt;&gt;"",Transações!B193,"")</f>
        <v/>
      </c>
      <c r="D193" s="15" t="str">
        <f aca="false">IF(Transações!D193&lt;&gt;"",Transações!D193,"")</f>
        <v/>
      </c>
      <c r="E193" s="16" t="str">
        <f aca="false">IF(Transações!E193&lt;&gt;"",Transações!E193,"")</f>
        <v/>
      </c>
      <c r="F193" s="7" t="str">
        <f aca="false">IF(C193="Compra",D193*E193,IF(C193="Staking",D193*E193,""))</f>
        <v/>
      </c>
      <c r="G193" s="7" t="str">
        <f aca="false">IF(C193="Venda",IF(COUNTIF(A$3:A192,A193)&gt;0,(E193-SUMPRODUCT((A$3:A192=A193)*(C$3:C192="Compra")*F$3:F192)/IF(SUMPRODUCT((A$3:A192=A193)*(C$3:C192="Compra")*D$3:D192)=0,1,SUMPRODUCT((A$3:A192=A193)*(C$3:C192="Compra")*D$3:D192)))*D193,0),"")</f>
        <v/>
      </c>
      <c r="H193" s="7" t="str">
        <f aca="false">IF(C193="Venda",E193*D193,"")</f>
        <v/>
      </c>
    </row>
    <row r="194" customFormat="false" ht="15" hidden="false" customHeight="false" outlineLevel="0" collapsed="false">
      <c r="A194" s="17" t="str">
        <f aca="false">IF(Transações!C194&lt;&gt;"",Transações!C194,"")</f>
        <v/>
      </c>
      <c r="B194" s="17" t="str">
        <f aca="false">IF(Transações!A194&lt;&gt;"",Transações!A194,"")</f>
        <v/>
      </c>
      <c r="C194" s="17" t="str">
        <f aca="false">IF(Transações!B194&lt;&gt;"",Transações!B194,"")</f>
        <v/>
      </c>
      <c r="D194" s="18" t="str">
        <f aca="false">IF(Transações!D194&lt;&gt;"",Transações!D194,"")</f>
        <v/>
      </c>
      <c r="E194" s="19" t="str">
        <f aca="false">IF(Transações!E194&lt;&gt;"",Transações!E194,"")</f>
        <v/>
      </c>
      <c r="F194" s="12" t="str">
        <f aca="false">IF(C194="Compra",D194*E194,IF(C194="Staking",D194*E194,""))</f>
        <v/>
      </c>
      <c r="G194" s="12" t="str">
        <f aca="false">IF(C194="Venda",IF(COUNTIF(A$3:A193,A194)&gt;0,(E194-SUMPRODUCT((A$3:A193=A194)*(C$3:C193="Compra")*F$3:F193)/IF(SUMPRODUCT((A$3:A193=A194)*(C$3:C193="Compra")*D$3:D193)=0,1,SUMPRODUCT((A$3:A193=A194)*(C$3:C193="Compra")*D$3:D193)))*D194,0),"")</f>
        <v/>
      </c>
      <c r="H194" s="12" t="str">
        <f aca="false">IF(C194="Venda",E194*D194,"")</f>
        <v/>
      </c>
    </row>
    <row r="195" customFormat="false" ht="15" hidden="false" customHeight="false" outlineLevel="0" collapsed="false">
      <c r="A195" s="14" t="str">
        <f aca="false">IF(Transações!C195&lt;&gt;"",Transações!C195,"")</f>
        <v/>
      </c>
      <c r="B195" s="14" t="str">
        <f aca="false">IF(Transações!A195&lt;&gt;"",Transações!A195,"")</f>
        <v/>
      </c>
      <c r="C195" s="14" t="str">
        <f aca="false">IF(Transações!B195&lt;&gt;"",Transações!B195,"")</f>
        <v/>
      </c>
      <c r="D195" s="15" t="str">
        <f aca="false">IF(Transações!D195&lt;&gt;"",Transações!D195,"")</f>
        <v/>
      </c>
      <c r="E195" s="16" t="str">
        <f aca="false">IF(Transações!E195&lt;&gt;"",Transações!E195,"")</f>
        <v/>
      </c>
      <c r="F195" s="7" t="str">
        <f aca="false">IF(C195="Compra",D195*E195,IF(C195="Staking",D195*E195,""))</f>
        <v/>
      </c>
      <c r="G195" s="7" t="str">
        <f aca="false">IF(C195="Venda",IF(COUNTIF(A$3:A194,A195)&gt;0,(E195-SUMPRODUCT((A$3:A194=A195)*(C$3:C194="Compra")*F$3:F194)/IF(SUMPRODUCT((A$3:A194=A195)*(C$3:C194="Compra")*D$3:D194)=0,1,SUMPRODUCT((A$3:A194=A195)*(C$3:C194="Compra")*D$3:D194)))*D195,0),"")</f>
        <v/>
      </c>
      <c r="H195" s="7" t="str">
        <f aca="false">IF(C195="Venda",E195*D195,"")</f>
        <v/>
      </c>
    </row>
    <row r="196" customFormat="false" ht="15" hidden="false" customHeight="false" outlineLevel="0" collapsed="false">
      <c r="A196" s="17" t="str">
        <f aca="false">IF(Transações!C196&lt;&gt;"",Transações!C196,"")</f>
        <v/>
      </c>
      <c r="B196" s="17" t="str">
        <f aca="false">IF(Transações!A196&lt;&gt;"",Transações!A196,"")</f>
        <v/>
      </c>
      <c r="C196" s="17" t="str">
        <f aca="false">IF(Transações!B196&lt;&gt;"",Transações!B196,"")</f>
        <v/>
      </c>
      <c r="D196" s="18" t="str">
        <f aca="false">IF(Transações!D196&lt;&gt;"",Transações!D196,"")</f>
        <v/>
      </c>
      <c r="E196" s="19" t="str">
        <f aca="false">IF(Transações!E196&lt;&gt;"",Transações!E196,"")</f>
        <v/>
      </c>
      <c r="F196" s="12" t="str">
        <f aca="false">IF(C196="Compra",D196*E196,IF(C196="Staking",D196*E196,""))</f>
        <v/>
      </c>
      <c r="G196" s="12" t="str">
        <f aca="false">IF(C196="Venda",IF(COUNTIF(A$3:A195,A196)&gt;0,(E196-SUMPRODUCT((A$3:A195=A196)*(C$3:C195="Compra")*F$3:F195)/IF(SUMPRODUCT((A$3:A195=A196)*(C$3:C195="Compra")*D$3:D195)=0,1,SUMPRODUCT((A$3:A195=A196)*(C$3:C195="Compra")*D$3:D195)))*D196,0),"")</f>
        <v/>
      </c>
      <c r="H196" s="12" t="str">
        <f aca="false">IF(C196="Venda",E196*D196,"")</f>
        <v/>
      </c>
    </row>
    <row r="197" customFormat="false" ht="15" hidden="false" customHeight="false" outlineLevel="0" collapsed="false">
      <c r="A197" s="14" t="str">
        <f aca="false">IF(Transações!C197&lt;&gt;"",Transações!C197,"")</f>
        <v/>
      </c>
      <c r="B197" s="14" t="str">
        <f aca="false">IF(Transações!A197&lt;&gt;"",Transações!A197,"")</f>
        <v/>
      </c>
      <c r="C197" s="14" t="str">
        <f aca="false">IF(Transações!B197&lt;&gt;"",Transações!B197,"")</f>
        <v/>
      </c>
      <c r="D197" s="15" t="str">
        <f aca="false">IF(Transações!D197&lt;&gt;"",Transações!D197,"")</f>
        <v/>
      </c>
      <c r="E197" s="16" t="str">
        <f aca="false">IF(Transações!E197&lt;&gt;"",Transações!E197,"")</f>
        <v/>
      </c>
      <c r="F197" s="7" t="str">
        <f aca="false">IF(C197="Compra",D197*E197,IF(C197="Staking",D197*E197,""))</f>
        <v/>
      </c>
      <c r="G197" s="7" t="str">
        <f aca="false">IF(C197="Venda",IF(COUNTIF(A$3:A196,A197)&gt;0,(E197-SUMPRODUCT((A$3:A196=A197)*(C$3:C196="Compra")*F$3:F196)/IF(SUMPRODUCT((A$3:A196=A197)*(C$3:C196="Compra")*D$3:D196)=0,1,SUMPRODUCT((A$3:A196=A197)*(C$3:C196="Compra")*D$3:D196)))*D197,0),"")</f>
        <v/>
      </c>
      <c r="H197" s="7" t="str">
        <f aca="false">IF(C197="Venda",E197*D197,"")</f>
        <v/>
      </c>
    </row>
    <row r="198" customFormat="false" ht="15" hidden="false" customHeight="false" outlineLevel="0" collapsed="false">
      <c r="A198" s="17" t="str">
        <f aca="false">IF(Transações!C198&lt;&gt;"",Transações!C198,"")</f>
        <v/>
      </c>
      <c r="B198" s="17" t="str">
        <f aca="false">IF(Transações!A198&lt;&gt;"",Transações!A198,"")</f>
        <v/>
      </c>
      <c r="C198" s="17" t="str">
        <f aca="false">IF(Transações!B198&lt;&gt;"",Transações!B198,"")</f>
        <v/>
      </c>
      <c r="D198" s="18" t="str">
        <f aca="false">IF(Transações!D198&lt;&gt;"",Transações!D198,"")</f>
        <v/>
      </c>
      <c r="E198" s="19" t="str">
        <f aca="false">IF(Transações!E198&lt;&gt;"",Transações!E198,"")</f>
        <v/>
      </c>
      <c r="F198" s="12" t="str">
        <f aca="false">IF(C198="Compra",D198*E198,IF(C198="Staking",D198*E198,""))</f>
        <v/>
      </c>
      <c r="G198" s="12" t="str">
        <f aca="false">IF(C198="Venda",IF(COUNTIF(A$3:A197,A198)&gt;0,(E198-SUMPRODUCT((A$3:A197=A198)*(C$3:C197="Compra")*F$3:F197)/IF(SUMPRODUCT((A$3:A197=A198)*(C$3:C197="Compra")*D$3:D197)=0,1,SUMPRODUCT((A$3:A197=A198)*(C$3:C197="Compra")*D$3:D197)))*D198,0),"")</f>
        <v/>
      </c>
      <c r="H198" s="12" t="str">
        <f aca="false">IF(C198="Venda",E198*D198,"")</f>
        <v/>
      </c>
    </row>
    <row r="199" customFormat="false" ht="15" hidden="false" customHeight="false" outlineLevel="0" collapsed="false">
      <c r="A199" s="14" t="str">
        <f aca="false">IF(Transações!C199&lt;&gt;"",Transações!C199,"")</f>
        <v/>
      </c>
      <c r="B199" s="14" t="str">
        <f aca="false">IF(Transações!A199&lt;&gt;"",Transações!A199,"")</f>
        <v/>
      </c>
      <c r="C199" s="14" t="str">
        <f aca="false">IF(Transações!B199&lt;&gt;"",Transações!B199,"")</f>
        <v/>
      </c>
      <c r="D199" s="15" t="str">
        <f aca="false">IF(Transações!D199&lt;&gt;"",Transações!D199,"")</f>
        <v/>
      </c>
      <c r="E199" s="16" t="str">
        <f aca="false">IF(Transações!E199&lt;&gt;"",Transações!E199,"")</f>
        <v/>
      </c>
      <c r="F199" s="7" t="str">
        <f aca="false">IF(C199="Compra",D199*E199,IF(C199="Staking",D199*E199,""))</f>
        <v/>
      </c>
      <c r="G199" s="7" t="str">
        <f aca="false">IF(C199="Venda",IF(COUNTIF(A$3:A198,A199)&gt;0,(E199-SUMPRODUCT((A$3:A198=A199)*(C$3:C198="Compra")*F$3:F198)/IF(SUMPRODUCT((A$3:A198=A199)*(C$3:C198="Compra")*D$3:D198)=0,1,SUMPRODUCT((A$3:A198=A199)*(C$3:C198="Compra")*D$3:D198)))*D199,0),"")</f>
        <v/>
      </c>
      <c r="H199" s="7" t="str">
        <f aca="false">IF(C199="Venda",E199*D199,"")</f>
        <v/>
      </c>
    </row>
    <row r="200" customFormat="false" ht="15" hidden="false" customHeight="false" outlineLevel="0" collapsed="false">
      <c r="A200" s="17" t="str">
        <f aca="false">IF(Transações!C200&lt;&gt;"",Transações!C200,"")</f>
        <v/>
      </c>
      <c r="B200" s="17" t="str">
        <f aca="false">IF(Transações!A200&lt;&gt;"",Transações!A200,"")</f>
        <v/>
      </c>
      <c r="C200" s="17" t="str">
        <f aca="false">IF(Transações!B200&lt;&gt;"",Transações!B200,"")</f>
        <v/>
      </c>
      <c r="D200" s="18" t="str">
        <f aca="false">IF(Transações!D200&lt;&gt;"",Transações!D200,"")</f>
        <v/>
      </c>
      <c r="E200" s="19" t="str">
        <f aca="false">IF(Transações!E200&lt;&gt;"",Transações!E200,"")</f>
        <v/>
      </c>
      <c r="F200" s="12" t="str">
        <f aca="false">IF(C200="Compra",D200*E200,IF(C200="Staking",D200*E200,""))</f>
        <v/>
      </c>
      <c r="G200" s="12" t="str">
        <f aca="false">IF(C200="Venda",IF(COUNTIF(A$3:A199,A200)&gt;0,(E200-SUMPRODUCT((A$3:A199=A200)*(C$3:C199="Compra")*F$3:F199)/IF(SUMPRODUCT((A$3:A199=A200)*(C$3:C199="Compra")*D$3:D199)=0,1,SUMPRODUCT((A$3:A199=A200)*(C$3:C199="Compra")*D$3:D199)))*D200,0),"")</f>
        <v/>
      </c>
      <c r="H200" s="12" t="str">
        <f aca="false">IF(C200="Venda",E200*D200,"")</f>
        <v/>
      </c>
    </row>
    <row r="201" customFormat="false" ht="15" hidden="false" customHeight="false" outlineLevel="0" collapsed="false">
      <c r="A201" s="14" t="str">
        <f aca="false">IF(Transações!C201&lt;&gt;"",Transações!C201,"")</f>
        <v/>
      </c>
      <c r="B201" s="14" t="str">
        <f aca="false">IF(Transações!A201&lt;&gt;"",Transações!A201,"")</f>
        <v/>
      </c>
      <c r="C201" s="14" t="str">
        <f aca="false">IF(Transações!B201&lt;&gt;"",Transações!B201,"")</f>
        <v/>
      </c>
      <c r="D201" s="15" t="str">
        <f aca="false">IF(Transações!D201&lt;&gt;"",Transações!D201,"")</f>
        <v/>
      </c>
      <c r="E201" s="16" t="str">
        <f aca="false">IF(Transações!E201&lt;&gt;"",Transações!E201,"")</f>
        <v/>
      </c>
      <c r="F201" s="7" t="str">
        <f aca="false">IF(C201="Compra",D201*E201,IF(C201="Staking",D201*E201,""))</f>
        <v/>
      </c>
      <c r="G201" s="7" t="str">
        <f aca="false">IF(C201="Venda",IF(COUNTIF(A$3:A200,A201)&gt;0,(E201-SUMPRODUCT((A$3:A200=A201)*(C$3:C200="Compra")*F$3:F200)/IF(SUMPRODUCT((A$3:A200=A201)*(C$3:C200="Compra")*D$3:D200)=0,1,SUMPRODUCT((A$3:A200=A201)*(C$3:C200="Compra")*D$3:D200)))*D201,0),"")</f>
        <v/>
      </c>
      <c r="H201" s="7" t="str">
        <f aca="false">IF(C201="Venda",E201*D201,"")</f>
        <v/>
      </c>
    </row>
    <row r="202" customFormat="false" ht="15" hidden="false" customHeight="false" outlineLevel="0" collapsed="false">
      <c r="A202" s="17" t="str">
        <f aca="false">IF(Transações!C202&lt;&gt;"",Transações!C202,"")</f>
        <v/>
      </c>
      <c r="B202" s="17" t="str">
        <f aca="false">IF(Transações!A202&lt;&gt;"",Transações!A202,"")</f>
        <v/>
      </c>
      <c r="C202" s="17" t="str">
        <f aca="false">IF(Transações!B202&lt;&gt;"",Transações!B202,"")</f>
        <v/>
      </c>
      <c r="D202" s="18" t="str">
        <f aca="false">IF(Transações!D202&lt;&gt;"",Transações!D202,"")</f>
        <v/>
      </c>
      <c r="E202" s="19" t="str">
        <f aca="false">IF(Transações!E202&lt;&gt;"",Transações!E202,"")</f>
        <v/>
      </c>
      <c r="F202" s="12" t="str">
        <f aca="false">IF(C202="Compra",D202*E202,IF(C202="Staking",D202*E202,""))</f>
        <v/>
      </c>
      <c r="G202" s="12" t="str">
        <f aca="false">IF(C202="Venda",IF(COUNTIF(A$3:A201,A202)&gt;0,(E202-SUMPRODUCT((A$3:A201=A202)*(C$3:C201="Compra")*F$3:F201)/IF(SUMPRODUCT((A$3:A201=A202)*(C$3:C201="Compra")*D$3:D201)=0,1,SUMPRODUCT((A$3:A201=A202)*(C$3:C201="Compra")*D$3:D201)))*D202,0),"")</f>
        <v/>
      </c>
      <c r="H202" s="12" t="str">
        <f aca="false">IF(C202="Venda",E202*D202,"")</f>
        <v/>
      </c>
    </row>
    <row r="203" customFormat="false" ht="15" hidden="false" customHeight="false" outlineLevel="0" collapsed="false">
      <c r="A203" s="14" t="str">
        <f aca="false">IF(Transações!C203&lt;&gt;"",Transações!C203,"")</f>
        <v/>
      </c>
      <c r="B203" s="14" t="str">
        <f aca="false">IF(Transações!A203&lt;&gt;"",Transações!A203,"")</f>
        <v/>
      </c>
      <c r="C203" s="14" t="str">
        <f aca="false">IF(Transações!B203&lt;&gt;"",Transações!B203,"")</f>
        <v/>
      </c>
      <c r="D203" s="15" t="str">
        <f aca="false">IF(Transações!D203&lt;&gt;"",Transações!D203,"")</f>
        <v/>
      </c>
      <c r="E203" s="16" t="str">
        <f aca="false">IF(Transações!E203&lt;&gt;"",Transações!E203,"")</f>
        <v/>
      </c>
      <c r="F203" s="7" t="str">
        <f aca="false">IF(C203="Compra",D203*E203,IF(C203="Staking",D203*E203,""))</f>
        <v/>
      </c>
      <c r="G203" s="7" t="str">
        <f aca="false">IF(C203="Venda",IF(COUNTIF(A$3:A202,A203)&gt;0,(E203-SUMPRODUCT((A$3:A202=A203)*(C$3:C202="Compra")*F$3:F202)/IF(SUMPRODUCT((A$3:A202=A203)*(C$3:C202="Compra")*D$3:D202)=0,1,SUMPRODUCT((A$3:A202=A203)*(C$3:C202="Compra")*D$3:D202)))*D203,0),"")</f>
        <v/>
      </c>
      <c r="H203" s="7" t="str">
        <f aca="false">IF(C203="Venda",E203*D203,"")</f>
        <v/>
      </c>
    </row>
    <row r="204" customFormat="false" ht="15" hidden="false" customHeight="false" outlineLevel="0" collapsed="false">
      <c r="A204" s="17" t="str">
        <f aca="false">IF(Transações!C204&lt;&gt;"",Transações!C204,"")</f>
        <v/>
      </c>
      <c r="B204" s="17" t="str">
        <f aca="false">IF(Transações!A204&lt;&gt;"",Transações!A204,"")</f>
        <v/>
      </c>
      <c r="C204" s="17" t="str">
        <f aca="false">IF(Transações!B204&lt;&gt;"",Transações!B204,"")</f>
        <v/>
      </c>
      <c r="D204" s="18" t="str">
        <f aca="false">IF(Transações!D204&lt;&gt;"",Transações!D204,"")</f>
        <v/>
      </c>
      <c r="E204" s="19" t="str">
        <f aca="false">IF(Transações!E204&lt;&gt;"",Transações!E204,"")</f>
        <v/>
      </c>
      <c r="F204" s="12" t="str">
        <f aca="false">IF(C204="Compra",D204*E204,IF(C204="Staking",D204*E204,""))</f>
        <v/>
      </c>
      <c r="G204" s="12" t="str">
        <f aca="false">IF(C204="Venda",IF(COUNTIF(A$3:A203,A204)&gt;0,(E204-SUMPRODUCT((A$3:A203=A204)*(C$3:C203="Compra")*F$3:F203)/IF(SUMPRODUCT((A$3:A203=A204)*(C$3:C203="Compra")*D$3:D203)=0,1,SUMPRODUCT((A$3:A203=A204)*(C$3:C203="Compra")*D$3:D203)))*D204,0),"")</f>
        <v/>
      </c>
      <c r="H204" s="12" t="str">
        <f aca="false">IF(C204="Venda",E204*D204,"")</f>
        <v/>
      </c>
    </row>
    <row r="205" customFormat="false" ht="15" hidden="false" customHeight="false" outlineLevel="0" collapsed="false">
      <c r="A205" s="14" t="str">
        <f aca="false">IF(Transações!C205&lt;&gt;"",Transações!C205,"")</f>
        <v/>
      </c>
      <c r="B205" s="14" t="str">
        <f aca="false">IF(Transações!A205&lt;&gt;"",Transações!A205,"")</f>
        <v/>
      </c>
      <c r="C205" s="14" t="str">
        <f aca="false">IF(Transações!B205&lt;&gt;"",Transações!B205,"")</f>
        <v/>
      </c>
      <c r="D205" s="15" t="str">
        <f aca="false">IF(Transações!D205&lt;&gt;"",Transações!D205,"")</f>
        <v/>
      </c>
      <c r="E205" s="16" t="str">
        <f aca="false">IF(Transações!E205&lt;&gt;"",Transações!E205,"")</f>
        <v/>
      </c>
      <c r="F205" s="7" t="str">
        <f aca="false">IF(C205="Compra",D205*E205,IF(C205="Staking",D205*E205,""))</f>
        <v/>
      </c>
      <c r="G205" s="7" t="str">
        <f aca="false">IF(C205="Venda",IF(COUNTIF(A$3:A204,A205)&gt;0,(E205-SUMPRODUCT((A$3:A204=A205)*(C$3:C204="Compra")*F$3:F204)/IF(SUMPRODUCT((A$3:A204=A205)*(C$3:C204="Compra")*D$3:D204)=0,1,SUMPRODUCT((A$3:A204=A205)*(C$3:C204="Compra")*D$3:D204)))*D205,0),"")</f>
        <v/>
      </c>
      <c r="H205" s="7" t="str">
        <f aca="false">IF(C205="Venda",E205*D205,"")</f>
        <v/>
      </c>
    </row>
    <row r="206" customFormat="false" ht="15" hidden="false" customHeight="false" outlineLevel="0" collapsed="false">
      <c r="A206" s="17" t="str">
        <f aca="false">IF(Transações!C206&lt;&gt;"",Transações!C206,"")</f>
        <v/>
      </c>
      <c r="B206" s="17" t="str">
        <f aca="false">IF(Transações!A206&lt;&gt;"",Transações!A206,"")</f>
        <v/>
      </c>
      <c r="C206" s="17" t="str">
        <f aca="false">IF(Transações!B206&lt;&gt;"",Transações!B206,"")</f>
        <v/>
      </c>
      <c r="D206" s="18" t="str">
        <f aca="false">IF(Transações!D206&lt;&gt;"",Transações!D206,"")</f>
        <v/>
      </c>
      <c r="E206" s="19" t="str">
        <f aca="false">IF(Transações!E206&lt;&gt;"",Transações!E206,"")</f>
        <v/>
      </c>
      <c r="F206" s="12" t="str">
        <f aca="false">IF(C206="Compra",D206*E206,IF(C206="Staking",D206*E206,""))</f>
        <v/>
      </c>
      <c r="G206" s="12" t="str">
        <f aca="false">IF(C206="Venda",IF(COUNTIF(A$3:A205,A206)&gt;0,(E206-SUMPRODUCT((A$3:A205=A206)*(C$3:C205="Compra")*F$3:F205)/IF(SUMPRODUCT((A$3:A205=A206)*(C$3:C205="Compra")*D$3:D205)=0,1,SUMPRODUCT((A$3:A205=A206)*(C$3:C205="Compra")*D$3:D205)))*D206,0),"")</f>
        <v/>
      </c>
      <c r="H206" s="12" t="str">
        <f aca="false">IF(C206="Venda",E206*D206,"")</f>
        <v/>
      </c>
    </row>
    <row r="207" customFormat="false" ht="15" hidden="false" customHeight="false" outlineLevel="0" collapsed="false">
      <c r="A207" s="14" t="str">
        <f aca="false">IF(Transações!C207&lt;&gt;"",Transações!C207,"")</f>
        <v/>
      </c>
      <c r="B207" s="14" t="str">
        <f aca="false">IF(Transações!A207&lt;&gt;"",Transações!A207,"")</f>
        <v/>
      </c>
      <c r="C207" s="14" t="str">
        <f aca="false">IF(Transações!B207&lt;&gt;"",Transações!B207,"")</f>
        <v/>
      </c>
      <c r="D207" s="15" t="str">
        <f aca="false">IF(Transações!D207&lt;&gt;"",Transações!D207,"")</f>
        <v/>
      </c>
      <c r="E207" s="16" t="str">
        <f aca="false">IF(Transações!E207&lt;&gt;"",Transações!E207,"")</f>
        <v/>
      </c>
      <c r="F207" s="7" t="str">
        <f aca="false">IF(C207="Compra",D207*E207,IF(C207="Staking",D207*E207,""))</f>
        <v/>
      </c>
      <c r="G207" s="7" t="str">
        <f aca="false">IF(C207="Venda",IF(COUNTIF(A$3:A206,A207)&gt;0,(E207-SUMPRODUCT((A$3:A206=A207)*(C$3:C206="Compra")*F$3:F206)/IF(SUMPRODUCT((A$3:A206=A207)*(C$3:C206="Compra")*D$3:D206)=0,1,SUMPRODUCT((A$3:A206=A207)*(C$3:C206="Compra")*D$3:D206)))*D207,0),"")</f>
        <v/>
      </c>
      <c r="H207" s="7" t="str">
        <f aca="false">IF(C207="Venda",E207*D207,"")</f>
        <v/>
      </c>
    </row>
    <row r="208" customFormat="false" ht="15" hidden="false" customHeight="false" outlineLevel="0" collapsed="false">
      <c r="A208" s="17" t="str">
        <f aca="false">IF(Transações!C208&lt;&gt;"",Transações!C208,"")</f>
        <v/>
      </c>
      <c r="B208" s="17" t="str">
        <f aca="false">IF(Transações!A208&lt;&gt;"",Transações!A208,"")</f>
        <v/>
      </c>
      <c r="C208" s="17" t="str">
        <f aca="false">IF(Transações!B208&lt;&gt;"",Transações!B208,"")</f>
        <v/>
      </c>
      <c r="D208" s="18" t="str">
        <f aca="false">IF(Transações!D208&lt;&gt;"",Transações!D208,"")</f>
        <v/>
      </c>
      <c r="E208" s="19" t="str">
        <f aca="false">IF(Transações!E208&lt;&gt;"",Transações!E208,"")</f>
        <v/>
      </c>
      <c r="F208" s="12" t="str">
        <f aca="false">IF(C208="Compra",D208*E208,IF(C208="Staking",D208*E208,""))</f>
        <v/>
      </c>
      <c r="G208" s="12" t="str">
        <f aca="false">IF(C208="Venda",IF(COUNTIF(A$3:A207,A208)&gt;0,(E208-SUMPRODUCT((A$3:A207=A208)*(C$3:C207="Compra")*F$3:F207)/IF(SUMPRODUCT((A$3:A207=A208)*(C$3:C207="Compra")*D$3:D207)=0,1,SUMPRODUCT((A$3:A207=A208)*(C$3:C207="Compra")*D$3:D207)))*D208,0),"")</f>
        <v/>
      </c>
      <c r="H208" s="12" t="str">
        <f aca="false">IF(C208="Venda",E208*D208,"")</f>
        <v/>
      </c>
    </row>
    <row r="209" customFormat="false" ht="15" hidden="false" customHeight="false" outlineLevel="0" collapsed="false">
      <c r="A209" s="14" t="str">
        <f aca="false">IF(Transações!C209&lt;&gt;"",Transações!C209,"")</f>
        <v/>
      </c>
      <c r="B209" s="14" t="str">
        <f aca="false">IF(Transações!A209&lt;&gt;"",Transações!A209,"")</f>
        <v/>
      </c>
      <c r="C209" s="14" t="str">
        <f aca="false">IF(Transações!B209&lt;&gt;"",Transações!B209,"")</f>
        <v/>
      </c>
      <c r="D209" s="15" t="str">
        <f aca="false">IF(Transações!D209&lt;&gt;"",Transações!D209,"")</f>
        <v/>
      </c>
      <c r="E209" s="16" t="str">
        <f aca="false">IF(Transações!E209&lt;&gt;"",Transações!E209,"")</f>
        <v/>
      </c>
      <c r="F209" s="7" t="str">
        <f aca="false">IF(C209="Compra",D209*E209,IF(C209="Staking",D209*E209,""))</f>
        <v/>
      </c>
      <c r="G209" s="7" t="str">
        <f aca="false">IF(C209="Venda",IF(COUNTIF(A$3:A208,A209)&gt;0,(E209-SUMPRODUCT((A$3:A208=A209)*(C$3:C208="Compra")*F$3:F208)/IF(SUMPRODUCT((A$3:A208=A209)*(C$3:C208="Compra")*D$3:D208)=0,1,SUMPRODUCT((A$3:A208=A209)*(C$3:C208="Compra")*D$3:D208)))*D209,0),"")</f>
        <v/>
      </c>
      <c r="H209" s="7" t="str">
        <f aca="false">IF(C209="Venda",E209*D209,"")</f>
        <v/>
      </c>
    </row>
    <row r="210" customFormat="false" ht="15" hidden="false" customHeight="false" outlineLevel="0" collapsed="false">
      <c r="A210" s="17" t="str">
        <f aca="false">IF(Transações!C210&lt;&gt;"",Transações!C210,"")</f>
        <v/>
      </c>
      <c r="B210" s="17" t="str">
        <f aca="false">IF(Transações!A210&lt;&gt;"",Transações!A210,"")</f>
        <v/>
      </c>
      <c r="C210" s="17" t="str">
        <f aca="false">IF(Transações!B210&lt;&gt;"",Transações!B210,"")</f>
        <v/>
      </c>
      <c r="D210" s="18" t="str">
        <f aca="false">IF(Transações!D210&lt;&gt;"",Transações!D210,"")</f>
        <v/>
      </c>
      <c r="E210" s="19" t="str">
        <f aca="false">IF(Transações!E210&lt;&gt;"",Transações!E210,"")</f>
        <v/>
      </c>
      <c r="F210" s="12" t="str">
        <f aca="false">IF(C210="Compra",D210*E210,IF(C210="Staking",D210*E210,""))</f>
        <v/>
      </c>
      <c r="G210" s="12" t="str">
        <f aca="false">IF(C210="Venda",IF(COUNTIF(A$3:A209,A210)&gt;0,(E210-SUMPRODUCT((A$3:A209=A210)*(C$3:C209="Compra")*F$3:F209)/IF(SUMPRODUCT((A$3:A209=A210)*(C$3:C209="Compra")*D$3:D209)=0,1,SUMPRODUCT((A$3:A209=A210)*(C$3:C209="Compra")*D$3:D209)))*D210,0),"")</f>
        <v/>
      </c>
      <c r="H210" s="12" t="str">
        <f aca="false">IF(C210="Venda",E210*D210,"")</f>
        <v/>
      </c>
    </row>
    <row r="211" customFormat="false" ht="15" hidden="false" customHeight="false" outlineLevel="0" collapsed="false">
      <c r="A211" s="14" t="str">
        <f aca="false">IF(Transações!C211&lt;&gt;"",Transações!C211,"")</f>
        <v/>
      </c>
      <c r="B211" s="14" t="str">
        <f aca="false">IF(Transações!A211&lt;&gt;"",Transações!A211,"")</f>
        <v/>
      </c>
      <c r="C211" s="14" t="str">
        <f aca="false">IF(Transações!B211&lt;&gt;"",Transações!B211,"")</f>
        <v/>
      </c>
      <c r="D211" s="15" t="str">
        <f aca="false">IF(Transações!D211&lt;&gt;"",Transações!D211,"")</f>
        <v/>
      </c>
      <c r="E211" s="16" t="str">
        <f aca="false">IF(Transações!E211&lt;&gt;"",Transações!E211,"")</f>
        <v/>
      </c>
      <c r="F211" s="7" t="str">
        <f aca="false">IF(C211="Compra",D211*E211,IF(C211="Staking",D211*E211,""))</f>
        <v/>
      </c>
      <c r="G211" s="7" t="str">
        <f aca="false">IF(C211="Venda",IF(COUNTIF(A$3:A210,A211)&gt;0,(E211-SUMPRODUCT((A$3:A210=A211)*(C$3:C210="Compra")*F$3:F210)/IF(SUMPRODUCT((A$3:A210=A211)*(C$3:C210="Compra")*D$3:D210)=0,1,SUMPRODUCT((A$3:A210=A211)*(C$3:C210="Compra")*D$3:D210)))*D211,0),"")</f>
        <v/>
      </c>
      <c r="H211" s="7" t="str">
        <f aca="false">IF(C211="Venda",E211*D211,"")</f>
        <v/>
      </c>
    </row>
    <row r="212" customFormat="false" ht="15" hidden="false" customHeight="false" outlineLevel="0" collapsed="false">
      <c r="A212" s="17" t="str">
        <f aca="false">IF(Transações!C212&lt;&gt;"",Transações!C212,"")</f>
        <v/>
      </c>
      <c r="B212" s="17" t="str">
        <f aca="false">IF(Transações!A212&lt;&gt;"",Transações!A212,"")</f>
        <v/>
      </c>
      <c r="C212" s="17" t="str">
        <f aca="false">IF(Transações!B212&lt;&gt;"",Transações!B212,"")</f>
        <v/>
      </c>
      <c r="D212" s="18" t="str">
        <f aca="false">IF(Transações!D212&lt;&gt;"",Transações!D212,"")</f>
        <v/>
      </c>
      <c r="E212" s="19" t="str">
        <f aca="false">IF(Transações!E212&lt;&gt;"",Transações!E212,"")</f>
        <v/>
      </c>
      <c r="F212" s="12" t="str">
        <f aca="false">IF(C212="Compra",D212*E212,IF(C212="Staking",D212*E212,""))</f>
        <v/>
      </c>
      <c r="G212" s="12" t="str">
        <f aca="false">IF(C212="Venda",IF(COUNTIF(A$3:A211,A212)&gt;0,(E212-SUMPRODUCT((A$3:A211=A212)*(C$3:C211="Compra")*F$3:F211)/IF(SUMPRODUCT((A$3:A211=A212)*(C$3:C211="Compra")*D$3:D211)=0,1,SUMPRODUCT((A$3:A211=A212)*(C$3:C211="Compra")*D$3:D211)))*D212,0),"")</f>
        <v/>
      </c>
      <c r="H212" s="12" t="str">
        <f aca="false">IF(C212="Venda",E212*D212,"")</f>
        <v/>
      </c>
    </row>
    <row r="213" customFormat="false" ht="15" hidden="false" customHeight="false" outlineLevel="0" collapsed="false">
      <c r="A213" s="14" t="str">
        <f aca="false">IF(Transações!C213&lt;&gt;"",Transações!C213,"")</f>
        <v/>
      </c>
      <c r="B213" s="14" t="str">
        <f aca="false">IF(Transações!A213&lt;&gt;"",Transações!A213,"")</f>
        <v/>
      </c>
      <c r="C213" s="14" t="str">
        <f aca="false">IF(Transações!B213&lt;&gt;"",Transações!B213,"")</f>
        <v/>
      </c>
      <c r="D213" s="15" t="str">
        <f aca="false">IF(Transações!D213&lt;&gt;"",Transações!D213,"")</f>
        <v/>
      </c>
      <c r="E213" s="16" t="str">
        <f aca="false">IF(Transações!E213&lt;&gt;"",Transações!E213,"")</f>
        <v/>
      </c>
      <c r="F213" s="7" t="str">
        <f aca="false">IF(C213="Compra",D213*E213,IF(C213="Staking",D213*E213,""))</f>
        <v/>
      </c>
      <c r="G213" s="7" t="str">
        <f aca="false">IF(C213="Venda",IF(COUNTIF(A$3:A212,A213)&gt;0,(E213-SUMPRODUCT((A$3:A212=A213)*(C$3:C212="Compra")*F$3:F212)/IF(SUMPRODUCT((A$3:A212=A213)*(C$3:C212="Compra")*D$3:D212)=0,1,SUMPRODUCT((A$3:A212=A213)*(C$3:C212="Compra")*D$3:D212)))*D213,0),"")</f>
        <v/>
      </c>
      <c r="H213" s="7" t="str">
        <f aca="false">IF(C213="Venda",E213*D213,"")</f>
        <v/>
      </c>
    </row>
    <row r="214" customFormat="false" ht="15" hidden="false" customHeight="false" outlineLevel="0" collapsed="false">
      <c r="A214" s="17" t="str">
        <f aca="false">IF(Transações!C214&lt;&gt;"",Transações!C214,"")</f>
        <v/>
      </c>
      <c r="B214" s="17" t="str">
        <f aca="false">IF(Transações!A214&lt;&gt;"",Transações!A214,"")</f>
        <v/>
      </c>
      <c r="C214" s="17" t="str">
        <f aca="false">IF(Transações!B214&lt;&gt;"",Transações!B214,"")</f>
        <v/>
      </c>
      <c r="D214" s="18" t="str">
        <f aca="false">IF(Transações!D214&lt;&gt;"",Transações!D214,"")</f>
        <v/>
      </c>
      <c r="E214" s="19" t="str">
        <f aca="false">IF(Transações!E214&lt;&gt;"",Transações!E214,"")</f>
        <v/>
      </c>
      <c r="F214" s="12" t="str">
        <f aca="false">IF(C214="Compra",D214*E214,IF(C214="Staking",D214*E214,""))</f>
        <v/>
      </c>
      <c r="G214" s="12" t="str">
        <f aca="false">IF(C214="Venda",IF(COUNTIF(A$3:A213,A214)&gt;0,(E214-SUMPRODUCT((A$3:A213=A214)*(C$3:C213="Compra")*F$3:F213)/IF(SUMPRODUCT((A$3:A213=A214)*(C$3:C213="Compra")*D$3:D213)=0,1,SUMPRODUCT((A$3:A213=A214)*(C$3:C213="Compra")*D$3:D213)))*D214,0),"")</f>
        <v/>
      </c>
      <c r="H214" s="12" t="str">
        <f aca="false">IF(C214="Venda",E214*D214,"")</f>
        <v/>
      </c>
    </row>
    <row r="215" customFormat="false" ht="15" hidden="false" customHeight="false" outlineLevel="0" collapsed="false">
      <c r="A215" s="14" t="str">
        <f aca="false">IF(Transações!C215&lt;&gt;"",Transações!C215,"")</f>
        <v/>
      </c>
      <c r="B215" s="14" t="str">
        <f aca="false">IF(Transações!A215&lt;&gt;"",Transações!A215,"")</f>
        <v/>
      </c>
      <c r="C215" s="14" t="str">
        <f aca="false">IF(Transações!B215&lt;&gt;"",Transações!B215,"")</f>
        <v/>
      </c>
      <c r="D215" s="15" t="str">
        <f aca="false">IF(Transações!D215&lt;&gt;"",Transações!D215,"")</f>
        <v/>
      </c>
      <c r="E215" s="16" t="str">
        <f aca="false">IF(Transações!E215&lt;&gt;"",Transações!E215,"")</f>
        <v/>
      </c>
      <c r="F215" s="7" t="str">
        <f aca="false">IF(C215="Compra",D215*E215,IF(C215="Staking",D215*E215,""))</f>
        <v/>
      </c>
      <c r="G215" s="7" t="str">
        <f aca="false">IF(C215="Venda",IF(COUNTIF(A$3:A214,A215)&gt;0,(E215-SUMPRODUCT((A$3:A214=A215)*(C$3:C214="Compra")*F$3:F214)/IF(SUMPRODUCT((A$3:A214=A215)*(C$3:C214="Compra")*D$3:D214)=0,1,SUMPRODUCT((A$3:A214=A215)*(C$3:C214="Compra")*D$3:D214)))*D215,0),"")</f>
        <v/>
      </c>
      <c r="H215" s="7" t="str">
        <f aca="false">IF(C215="Venda",E215*D215,"")</f>
        <v/>
      </c>
    </row>
    <row r="216" customFormat="false" ht="15" hidden="false" customHeight="false" outlineLevel="0" collapsed="false">
      <c r="A216" s="17" t="str">
        <f aca="false">IF(Transações!C216&lt;&gt;"",Transações!C216,"")</f>
        <v/>
      </c>
      <c r="B216" s="17" t="str">
        <f aca="false">IF(Transações!A216&lt;&gt;"",Transações!A216,"")</f>
        <v/>
      </c>
      <c r="C216" s="17" t="str">
        <f aca="false">IF(Transações!B216&lt;&gt;"",Transações!B216,"")</f>
        <v/>
      </c>
      <c r="D216" s="18" t="str">
        <f aca="false">IF(Transações!D216&lt;&gt;"",Transações!D216,"")</f>
        <v/>
      </c>
      <c r="E216" s="19" t="str">
        <f aca="false">IF(Transações!E216&lt;&gt;"",Transações!E216,"")</f>
        <v/>
      </c>
      <c r="F216" s="12" t="str">
        <f aca="false">IF(C216="Compra",D216*E216,IF(C216="Staking",D216*E216,""))</f>
        <v/>
      </c>
      <c r="G216" s="12" t="str">
        <f aca="false">IF(C216="Venda",IF(COUNTIF(A$3:A215,A216)&gt;0,(E216-SUMPRODUCT((A$3:A215=A216)*(C$3:C215="Compra")*F$3:F215)/IF(SUMPRODUCT((A$3:A215=A216)*(C$3:C215="Compra")*D$3:D215)=0,1,SUMPRODUCT((A$3:A215=A216)*(C$3:C215="Compra")*D$3:D215)))*D216,0),"")</f>
        <v/>
      </c>
      <c r="H216" s="12" t="str">
        <f aca="false">IF(C216="Venda",E216*D216,"")</f>
        <v/>
      </c>
    </row>
    <row r="217" customFormat="false" ht="15" hidden="false" customHeight="false" outlineLevel="0" collapsed="false">
      <c r="A217" s="14" t="str">
        <f aca="false">IF(Transações!C217&lt;&gt;"",Transações!C217,"")</f>
        <v/>
      </c>
      <c r="B217" s="14" t="str">
        <f aca="false">IF(Transações!A217&lt;&gt;"",Transações!A217,"")</f>
        <v/>
      </c>
      <c r="C217" s="14" t="str">
        <f aca="false">IF(Transações!B217&lt;&gt;"",Transações!B217,"")</f>
        <v/>
      </c>
      <c r="D217" s="15" t="str">
        <f aca="false">IF(Transações!D217&lt;&gt;"",Transações!D217,"")</f>
        <v/>
      </c>
      <c r="E217" s="16" t="str">
        <f aca="false">IF(Transações!E217&lt;&gt;"",Transações!E217,"")</f>
        <v/>
      </c>
      <c r="F217" s="7" t="str">
        <f aca="false">IF(C217="Compra",D217*E217,IF(C217="Staking",D217*E217,""))</f>
        <v/>
      </c>
      <c r="G217" s="7" t="str">
        <f aca="false">IF(C217="Venda",IF(COUNTIF(A$3:A216,A217)&gt;0,(E217-SUMPRODUCT((A$3:A216=A217)*(C$3:C216="Compra")*F$3:F216)/IF(SUMPRODUCT((A$3:A216=A217)*(C$3:C216="Compra")*D$3:D216)=0,1,SUMPRODUCT((A$3:A216=A217)*(C$3:C216="Compra")*D$3:D216)))*D217,0),"")</f>
        <v/>
      </c>
      <c r="H217" s="7" t="str">
        <f aca="false">IF(C217="Venda",E217*D217,"")</f>
        <v/>
      </c>
    </row>
    <row r="218" customFormat="false" ht="15" hidden="false" customHeight="false" outlineLevel="0" collapsed="false">
      <c r="A218" s="17" t="str">
        <f aca="false">IF(Transações!C218&lt;&gt;"",Transações!C218,"")</f>
        <v/>
      </c>
      <c r="B218" s="17" t="str">
        <f aca="false">IF(Transações!A218&lt;&gt;"",Transações!A218,"")</f>
        <v/>
      </c>
      <c r="C218" s="17" t="str">
        <f aca="false">IF(Transações!B218&lt;&gt;"",Transações!B218,"")</f>
        <v/>
      </c>
      <c r="D218" s="18" t="str">
        <f aca="false">IF(Transações!D218&lt;&gt;"",Transações!D218,"")</f>
        <v/>
      </c>
      <c r="E218" s="19" t="str">
        <f aca="false">IF(Transações!E218&lt;&gt;"",Transações!E218,"")</f>
        <v/>
      </c>
      <c r="F218" s="12" t="str">
        <f aca="false">IF(C218="Compra",D218*E218,IF(C218="Staking",D218*E218,""))</f>
        <v/>
      </c>
      <c r="G218" s="12" t="str">
        <f aca="false">IF(C218="Venda",IF(COUNTIF(A$3:A217,A218)&gt;0,(E218-SUMPRODUCT((A$3:A217=A218)*(C$3:C217="Compra")*F$3:F217)/IF(SUMPRODUCT((A$3:A217=A218)*(C$3:C217="Compra")*D$3:D217)=0,1,SUMPRODUCT((A$3:A217=A218)*(C$3:C217="Compra")*D$3:D217)))*D218,0),"")</f>
        <v/>
      </c>
      <c r="H218" s="12" t="str">
        <f aca="false">IF(C218="Venda",E218*D218,"")</f>
        <v/>
      </c>
    </row>
    <row r="219" customFormat="false" ht="15" hidden="false" customHeight="false" outlineLevel="0" collapsed="false">
      <c r="A219" s="14" t="str">
        <f aca="false">IF(Transações!C219&lt;&gt;"",Transações!C219,"")</f>
        <v/>
      </c>
      <c r="B219" s="14" t="str">
        <f aca="false">IF(Transações!A219&lt;&gt;"",Transações!A219,"")</f>
        <v/>
      </c>
      <c r="C219" s="14" t="str">
        <f aca="false">IF(Transações!B219&lt;&gt;"",Transações!B219,"")</f>
        <v/>
      </c>
      <c r="D219" s="15" t="str">
        <f aca="false">IF(Transações!D219&lt;&gt;"",Transações!D219,"")</f>
        <v/>
      </c>
      <c r="E219" s="16" t="str">
        <f aca="false">IF(Transações!E219&lt;&gt;"",Transações!E219,"")</f>
        <v/>
      </c>
      <c r="F219" s="7" t="str">
        <f aca="false">IF(C219="Compra",D219*E219,IF(C219="Staking",D219*E219,""))</f>
        <v/>
      </c>
      <c r="G219" s="7" t="str">
        <f aca="false">IF(C219="Venda",IF(COUNTIF(A$3:A218,A219)&gt;0,(E219-SUMPRODUCT((A$3:A218=A219)*(C$3:C218="Compra")*F$3:F218)/IF(SUMPRODUCT((A$3:A218=A219)*(C$3:C218="Compra")*D$3:D218)=0,1,SUMPRODUCT((A$3:A218=A219)*(C$3:C218="Compra")*D$3:D218)))*D219,0),"")</f>
        <v/>
      </c>
      <c r="H219" s="7" t="str">
        <f aca="false">IF(C219="Venda",E219*D219,"")</f>
        <v/>
      </c>
    </row>
    <row r="220" customFormat="false" ht="15" hidden="false" customHeight="false" outlineLevel="0" collapsed="false">
      <c r="A220" s="17" t="str">
        <f aca="false">IF(Transações!C220&lt;&gt;"",Transações!C220,"")</f>
        <v/>
      </c>
      <c r="B220" s="17" t="str">
        <f aca="false">IF(Transações!A220&lt;&gt;"",Transações!A220,"")</f>
        <v/>
      </c>
      <c r="C220" s="17" t="str">
        <f aca="false">IF(Transações!B220&lt;&gt;"",Transações!B220,"")</f>
        <v/>
      </c>
      <c r="D220" s="18" t="str">
        <f aca="false">IF(Transações!D220&lt;&gt;"",Transações!D220,"")</f>
        <v/>
      </c>
      <c r="E220" s="19" t="str">
        <f aca="false">IF(Transações!E220&lt;&gt;"",Transações!E220,"")</f>
        <v/>
      </c>
      <c r="F220" s="12" t="str">
        <f aca="false">IF(C220="Compra",D220*E220,IF(C220="Staking",D220*E220,""))</f>
        <v/>
      </c>
      <c r="G220" s="12" t="str">
        <f aca="false">IF(C220="Venda",IF(COUNTIF(A$3:A219,A220)&gt;0,(E220-SUMPRODUCT((A$3:A219=A220)*(C$3:C219="Compra")*F$3:F219)/IF(SUMPRODUCT((A$3:A219=A220)*(C$3:C219="Compra")*D$3:D219)=0,1,SUMPRODUCT((A$3:A219=A220)*(C$3:C219="Compra")*D$3:D219)))*D220,0),"")</f>
        <v/>
      </c>
      <c r="H220" s="12" t="str">
        <f aca="false">IF(C220="Venda",E220*D220,"")</f>
        <v/>
      </c>
    </row>
    <row r="221" customFormat="false" ht="15" hidden="false" customHeight="false" outlineLevel="0" collapsed="false">
      <c r="A221" s="14" t="str">
        <f aca="false">IF(Transações!C221&lt;&gt;"",Transações!C221,"")</f>
        <v/>
      </c>
      <c r="B221" s="14" t="str">
        <f aca="false">IF(Transações!A221&lt;&gt;"",Transações!A221,"")</f>
        <v/>
      </c>
      <c r="C221" s="14" t="str">
        <f aca="false">IF(Transações!B221&lt;&gt;"",Transações!B221,"")</f>
        <v/>
      </c>
      <c r="D221" s="15" t="str">
        <f aca="false">IF(Transações!D221&lt;&gt;"",Transações!D221,"")</f>
        <v/>
      </c>
      <c r="E221" s="16" t="str">
        <f aca="false">IF(Transações!E221&lt;&gt;"",Transações!E221,"")</f>
        <v/>
      </c>
      <c r="F221" s="7" t="str">
        <f aca="false">IF(C221="Compra",D221*E221,IF(C221="Staking",D221*E221,""))</f>
        <v/>
      </c>
      <c r="G221" s="7" t="str">
        <f aca="false">IF(C221="Venda",IF(COUNTIF(A$3:A220,A221)&gt;0,(E221-SUMPRODUCT((A$3:A220=A221)*(C$3:C220="Compra")*F$3:F220)/IF(SUMPRODUCT((A$3:A220=A221)*(C$3:C220="Compra")*D$3:D220)=0,1,SUMPRODUCT((A$3:A220=A221)*(C$3:C220="Compra")*D$3:D220)))*D221,0),"")</f>
        <v/>
      </c>
      <c r="H221" s="7" t="str">
        <f aca="false">IF(C221="Venda",E221*D221,"")</f>
        <v/>
      </c>
    </row>
    <row r="222" customFormat="false" ht="15" hidden="false" customHeight="false" outlineLevel="0" collapsed="false">
      <c r="A222" s="17" t="str">
        <f aca="false">IF(Transações!C222&lt;&gt;"",Transações!C222,"")</f>
        <v/>
      </c>
      <c r="B222" s="17" t="str">
        <f aca="false">IF(Transações!A222&lt;&gt;"",Transações!A222,"")</f>
        <v/>
      </c>
      <c r="C222" s="17" t="str">
        <f aca="false">IF(Transações!B222&lt;&gt;"",Transações!B222,"")</f>
        <v/>
      </c>
      <c r="D222" s="18" t="str">
        <f aca="false">IF(Transações!D222&lt;&gt;"",Transações!D222,"")</f>
        <v/>
      </c>
      <c r="E222" s="19" t="str">
        <f aca="false">IF(Transações!E222&lt;&gt;"",Transações!E222,"")</f>
        <v/>
      </c>
      <c r="F222" s="12" t="str">
        <f aca="false">IF(C222="Compra",D222*E222,IF(C222="Staking",D222*E222,""))</f>
        <v/>
      </c>
      <c r="G222" s="12" t="str">
        <f aca="false">IF(C222="Venda",IF(COUNTIF(A$3:A221,A222)&gt;0,(E222-SUMPRODUCT((A$3:A221=A222)*(C$3:C221="Compra")*F$3:F221)/IF(SUMPRODUCT((A$3:A221=A222)*(C$3:C221="Compra")*D$3:D221)=0,1,SUMPRODUCT((A$3:A221=A222)*(C$3:C221="Compra")*D$3:D221)))*D222,0),"")</f>
        <v/>
      </c>
      <c r="H222" s="12" t="str">
        <f aca="false">IF(C222="Venda",E222*D222,"")</f>
        <v/>
      </c>
    </row>
    <row r="223" customFormat="false" ht="15" hidden="false" customHeight="false" outlineLevel="0" collapsed="false">
      <c r="A223" s="14" t="str">
        <f aca="false">IF(Transações!C223&lt;&gt;"",Transações!C223,"")</f>
        <v/>
      </c>
      <c r="B223" s="14" t="str">
        <f aca="false">IF(Transações!A223&lt;&gt;"",Transações!A223,"")</f>
        <v/>
      </c>
      <c r="C223" s="14" t="str">
        <f aca="false">IF(Transações!B223&lt;&gt;"",Transações!B223,"")</f>
        <v/>
      </c>
      <c r="D223" s="15" t="str">
        <f aca="false">IF(Transações!D223&lt;&gt;"",Transações!D223,"")</f>
        <v/>
      </c>
      <c r="E223" s="16" t="str">
        <f aca="false">IF(Transações!E223&lt;&gt;"",Transações!E223,"")</f>
        <v/>
      </c>
      <c r="F223" s="7" t="str">
        <f aca="false">IF(C223="Compra",D223*E223,IF(C223="Staking",D223*E223,""))</f>
        <v/>
      </c>
      <c r="G223" s="7" t="str">
        <f aca="false">IF(C223="Venda",IF(COUNTIF(A$3:A222,A223)&gt;0,(E223-SUMPRODUCT((A$3:A222=A223)*(C$3:C222="Compra")*F$3:F222)/IF(SUMPRODUCT((A$3:A222=A223)*(C$3:C222="Compra")*D$3:D222)=0,1,SUMPRODUCT((A$3:A222=A223)*(C$3:C222="Compra")*D$3:D222)))*D223,0),"")</f>
        <v/>
      </c>
      <c r="H223" s="7" t="str">
        <f aca="false">IF(C223="Venda",E223*D223,"")</f>
        <v/>
      </c>
    </row>
    <row r="224" customFormat="false" ht="15" hidden="false" customHeight="false" outlineLevel="0" collapsed="false">
      <c r="A224" s="17" t="str">
        <f aca="false">IF(Transações!C224&lt;&gt;"",Transações!C224,"")</f>
        <v/>
      </c>
      <c r="B224" s="17" t="str">
        <f aca="false">IF(Transações!A224&lt;&gt;"",Transações!A224,"")</f>
        <v/>
      </c>
      <c r="C224" s="17" t="str">
        <f aca="false">IF(Transações!B224&lt;&gt;"",Transações!B224,"")</f>
        <v/>
      </c>
      <c r="D224" s="18" t="str">
        <f aca="false">IF(Transações!D224&lt;&gt;"",Transações!D224,"")</f>
        <v/>
      </c>
      <c r="E224" s="19" t="str">
        <f aca="false">IF(Transações!E224&lt;&gt;"",Transações!E224,"")</f>
        <v/>
      </c>
      <c r="F224" s="12" t="str">
        <f aca="false">IF(C224="Compra",D224*E224,IF(C224="Staking",D224*E224,""))</f>
        <v/>
      </c>
      <c r="G224" s="12" t="str">
        <f aca="false">IF(C224="Venda",IF(COUNTIF(A$3:A223,A224)&gt;0,(E224-SUMPRODUCT((A$3:A223=A224)*(C$3:C223="Compra")*F$3:F223)/IF(SUMPRODUCT((A$3:A223=A224)*(C$3:C223="Compra")*D$3:D223)=0,1,SUMPRODUCT((A$3:A223=A224)*(C$3:C223="Compra")*D$3:D223)))*D224,0),"")</f>
        <v/>
      </c>
      <c r="H224" s="12" t="str">
        <f aca="false">IF(C224="Venda",E224*D224,"")</f>
        <v/>
      </c>
    </row>
    <row r="225" customFormat="false" ht="15" hidden="false" customHeight="false" outlineLevel="0" collapsed="false">
      <c r="A225" s="14" t="str">
        <f aca="false">IF(Transações!C225&lt;&gt;"",Transações!C225,"")</f>
        <v/>
      </c>
      <c r="B225" s="14" t="str">
        <f aca="false">IF(Transações!A225&lt;&gt;"",Transações!A225,"")</f>
        <v/>
      </c>
      <c r="C225" s="14" t="str">
        <f aca="false">IF(Transações!B225&lt;&gt;"",Transações!B225,"")</f>
        <v/>
      </c>
      <c r="D225" s="15" t="str">
        <f aca="false">IF(Transações!D225&lt;&gt;"",Transações!D225,"")</f>
        <v/>
      </c>
      <c r="E225" s="16" t="str">
        <f aca="false">IF(Transações!E225&lt;&gt;"",Transações!E225,"")</f>
        <v/>
      </c>
      <c r="F225" s="7" t="str">
        <f aca="false">IF(C225="Compra",D225*E225,IF(C225="Staking",D225*E225,""))</f>
        <v/>
      </c>
      <c r="G225" s="7" t="str">
        <f aca="false">IF(C225="Venda",IF(COUNTIF(A$3:A224,A225)&gt;0,(E225-SUMPRODUCT((A$3:A224=A225)*(C$3:C224="Compra")*F$3:F224)/IF(SUMPRODUCT((A$3:A224=A225)*(C$3:C224="Compra")*D$3:D224)=0,1,SUMPRODUCT((A$3:A224=A225)*(C$3:C224="Compra")*D$3:D224)))*D225,0),"")</f>
        <v/>
      </c>
      <c r="H225" s="7" t="str">
        <f aca="false">IF(C225="Venda",E225*D225,"")</f>
        <v/>
      </c>
    </row>
    <row r="226" customFormat="false" ht="15" hidden="false" customHeight="false" outlineLevel="0" collapsed="false">
      <c r="A226" s="17" t="str">
        <f aca="false">IF(Transações!C226&lt;&gt;"",Transações!C226,"")</f>
        <v/>
      </c>
      <c r="B226" s="17" t="str">
        <f aca="false">IF(Transações!A226&lt;&gt;"",Transações!A226,"")</f>
        <v/>
      </c>
      <c r="C226" s="17" t="str">
        <f aca="false">IF(Transações!B226&lt;&gt;"",Transações!B226,"")</f>
        <v/>
      </c>
      <c r="D226" s="18" t="str">
        <f aca="false">IF(Transações!D226&lt;&gt;"",Transações!D226,"")</f>
        <v/>
      </c>
      <c r="E226" s="19" t="str">
        <f aca="false">IF(Transações!E226&lt;&gt;"",Transações!E226,"")</f>
        <v/>
      </c>
      <c r="F226" s="12" t="str">
        <f aca="false">IF(C226="Compra",D226*E226,IF(C226="Staking",D226*E226,""))</f>
        <v/>
      </c>
      <c r="G226" s="12" t="str">
        <f aca="false">IF(C226="Venda",IF(COUNTIF(A$3:A225,A226)&gt;0,(E226-SUMPRODUCT((A$3:A225=A226)*(C$3:C225="Compra")*F$3:F225)/IF(SUMPRODUCT((A$3:A225=A226)*(C$3:C225="Compra")*D$3:D225)=0,1,SUMPRODUCT((A$3:A225=A226)*(C$3:C225="Compra")*D$3:D225)))*D226,0),"")</f>
        <v/>
      </c>
      <c r="H226" s="12" t="str">
        <f aca="false">IF(C226="Venda",E226*D226,"")</f>
        <v/>
      </c>
    </row>
    <row r="227" customFormat="false" ht="15" hidden="false" customHeight="false" outlineLevel="0" collapsed="false">
      <c r="A227" s="14" t="str">
        <f aca="false">IF(Transações!C227&lt;&gt;"",Transações!C227,"")</f>
        <v/>
      </c>
      <c r="B227" s="14" t="str">
        <f aca="false">IF(Transações!A227&lt;&gt;"",Transações!A227,"")</f>
        <v/>
      </c>
      <c r="C227" s="14" t="str">
        <f aca="false">IF(Transações!B227&lt;&gt;"",Transações!B227,"")</f>
        <v/>
      </c>
      <c r="D227" s="15" t="str">
        <f aca="false">IF(Transações!D227&lt;&gt;"",Transações!D227,"")</f>
        <v/>
      </c>
      <c r="E227" s="16" t="str">
        <f aca="false">IF(Transações!E227&lt;&gt;"",Transações!E227,"")</f>
        <v/>
      </c>
      <c r="F227" s="7" t="str">
        <f aca="false">IF(C227="Compra",D227*E227,IF(C227="Staking",D227*E227,""))</f>
        <v/>
      </c>
      <c r="G227" s="7" t="str">
        <f aca="false">IF(C227="Venda",IF(COUNTIF(A$3:A226,A227)&gt;0,(E227-SUMPRODUCT((A$3:A226=A227)*(C$3:C226="Compra")*F$3:F226)/IF(SUMPRODUCT((A$3:A226=A227)*(C$3:C226="Compra")*D$3:D226)=0,1,SUMPRODUCT((A$3:A226=A227)*(C$3:C226="Compra")*D$3:D226)))*D227,0),"")</f>
        <v/>
      </c>
      <c r="H227" s="7" t="str">
        <f aca="false">IF(C227="Venda",E227*D227,"")</f>
        <v/>
      </c>
    </row>
    <row r="228" customFormat="false" ht="15" hidden="false" customHeight="false" outlineLevel="0" collapsed="false">
      <c r="A228" s="17" t="str">
        <f aca="false">IF(Transações!C228&lt;&gt;"",Transações!C228,"")</f>
        <v/>
      </c>
      <c r="B228" s="17" t="str">
        <f aca="false">IF(Transações!A228&lt;&gt;"",Transações!A228,"")</f>
        <v/>
      </c>
      <c r="C228" s="17" t="str">
        <f aca="false">IF(Transações!B228&lt;&gt;"",Transações!B228,"")</f>
        <v/>
      </c>
      <c r="D228" s="18" t="str">
        <f aca="false">IF(Transações!D228&lt;&gt;"",Transações!D228,"")</f>
        <v/>
      </c>
      <c r="E228" s="19" t="str">
        <f aca="false">IF(Transações!E228&lt;&gt;"",Transações!E228,"")</f>
        <v/>
      </c>
      <c r="F228" s="12" t="str">
        <f aca="false">IF(C228="Compra",D228*E228,IF(C228="Staking",D228*E228,""))</f>
        <v/>
      </c>
      <c r="G228" s="12" t="str">
        <f aca="false">IF(C228="Venda",IF(COUNTIF(A$3:A227,A228)&gt;0,(E228-SUMPRODUCT((A$3:A227=A228)*(C$3:C227="Compra")*F$3:F227)/IF(SUMPRODUCT((A$3:A227=A228)*(C$3:C227="Compra")*D$3:D227)=0,1,SUMPRODUCT((A$3:A227=A228)*(C$3:C227="Compra")*D$3:D227)))*D228,0),"")</f>
        <v/>
      </c>
      <c r="H228" s="12" t="str">
        <f aca="false">IF(C228="Venda",E228*D228,"")</f>
        <v/>
      </c>
    </row>
    <row r="229" customFormat="false" ht="15" hidden="false" customHeight="false" outlineLevel="0" collapsed="false">
      <c r="A229" s="14" t="str">
        <f aca="false">IF(Transações!C229&lt;&gt;"",Transações!C229,"")</f>
        <v/>
      </c>
      <c r="B229" s="14" t="str">
        <f aca="false">IF(Transações!A229&lt;&gt;"",Transações!A229,"")</f>
        <v/>
      </c>
      <c r="C229" s="14" t="str">
        <f aca="false">IF(Transações!B229&lt;&gt;"",Transações!B229,"")</f>
        <v/>
      </c>
      <c r="D229" s="15" t="str">
        <f aca="false">IF(Transações!D229&lt;&gt;"",Transações!D229,"")</f>
        <v/>
      </c>
      <c r="E229" s="16" t="str">
        <f aca="false">IF(Transações!E229&lt;&gt;"",Transações!E229,"")</f>
        <v/>
      </c>
      <c r="F229" s="7" t="str">
        <f aca="false">IF(C229="Compra",D229*E229,IF(C229="Staking",D229*E229,""))</f>
        <v/>
      </c>
      <c r="G229" s="7" t="str">
        <f aca="false">IF(C229="Venda",IF(COUNTIF(A$3:A228,A229)&gt;0,(E229-SUMPRODUCT((A$3:A228=A229)*(C$3:C228="Compra")*F$3:F228)/IF(SUMPRODUCT((A$3:A228=A229)*(C$3:C228="Compra")*D$3:D228)=0,1,SUMPRODUCT((A$3:A228=A229)*(C$3:C228="Compra")*D$3:D228)))*D229,0),"")</f>
        <v/>
      </c>
      <c r="H229" s="7" t="str">
        <f aca="false">IF(C229="Venda",E229*D229,"")</f>
        <v/>
      </c>
    </row>
    <row r="230" customFormat="false" ht="15" hidden="false" customHeight="false" outlineLevel="0" collapsed="false">
      <c r="A230" s="17" t="str">
        <f aca="false">IF(Transações!C230&lt;&gt;"",Transações!C230,"")</f>
        <v/>
      </c>
      <c r="B230" s="17" t="str">
        <f aca="false">IF(Transações!A230&lt;&gt;"",Transações!A230,"")</f>
        <v/>
      </c>
      <c r="C230" s="17" t="str">
        <f aca="false">IF(Transações!B230&lt;&gt;"",Transações!B230,"")</f>
        <v/>
      </c>
      <c r="D230" s="18" t="str">
        <f aca="false">IF(Transações!D230&lt;&gt;"",Transações!D230,"")</f>
        <v/>
      </c>
      <c r="E230" s="19" t="str">
        <f aca="false">IF(Transações!E230&lt;&gt;"",Transações!E230,"")</f>
        <v/>
      </c>
      <c r="F230" s="12" t="str">
        <f aca="false">IF(C230="Compra",D230*E230,IF(C230="Staking",D230*E230,""))</f>
        <v/>
      </c>
      <c r="G230" s="12" t="str">
        <f aca="false">IF(C230="Venda",IF(COUNTIF(A$3:A229,A230)&gt;0,(E230-SUMPRODUCT((A$3:A229=A230)*(C$3:C229="Compra")*F$3:F229)/IF(SUMPRODUCT((A$3:A229=A230)*(C$3:C229="Compra")*D$3:D229)=0,1,SUMPRODUCT((A$3:A229=A230)*(C$3:C229="Compra")*D$3:D229)))*D230,0),"")</f>
        <v/>
      </c>
      <c r="H230" s="12" t="str">
        <f aca="false">IF(C230="Venda",E230*D230,"")</f>
        <v/>
      </c>
    </row>
    <row r="231" customFormat="false" ht="15" hidden="false" customHeight="false" outlineLevel="0" collapsed="false">
      <c r="A231" s="14" t="str">
        <f aca="false">IF(Transações!C231&lt;&gt;"",Transações!C231,"")</f>
        <v/>
      </c>
      <c r="B231" s="14" t="str">
        <f aca="false">IF(Transações!A231&lt;&gt;"",Transações!A231,"")</f>
        <v/>
      </c>
      <c r="C231" s="14" t="str">
        <f aca="false">IF(Transações!B231&lt;&gt;"",Transações!B231,"")</f>
        <v/>
      </c>
      <c r="D231" s="15" t="str">
        <f aca="false">IF(Transações!D231&lt;&gt;"",Transações!D231,"")</f>
        <v/>
      </c>
      <c r="E231" s="16" t="str">
        <f aca="false">IF(Transações!E231&lt;&gt;"",Transações!E231,"")</f>
        <v/>
      </c>
      <c r="F231" s="7" t="str">
        <f aca="false">IF(C231="Compra",D231*E231,IF(C231="Staking",D231*E231,""))</f>
        <v/>
      </c>
      <c r="G231" s="7" t="str">
        <f aca="false">IF(C231="Venda",IF(COUNTIF(A$3:A230,A231)&gt;0,(E231-SUMPRODUCT((A$3:A230=A231)*(C$3:C230="Compra")*F$3:F230)/IF(SUMPRODUCT((A$3:A230=A231)*(C$3:C230="Compra")*D$3:D230)=0,1,SUMPRODUCT((A$3:A230=A231)*(C$3:C230="Compra")*D$3:D230)))*D231,0),"")</f>
        <v/>
      </c>
      <c r="H231" s="7" t="str">
        <f aca="false">IF(C231="Venda",E231*D231,"")</f>
        <v/>
      </c>
    </row>
    <row r="232" customFormat="false" ht="15" hidden="false" customHeight="false" outlineLevel="0" collapsed="false">
      <c r="A232" s="17" t="str">
        <f aca="false">IF(Transações!C232&lt;&gt;"",Transações!C232,"")</f>
        <v/>
      </c>
      <c r="B232" s="17" t="str">
        <f aca="false">IF(Transações!A232&lt;&gt;"",Transações!A232,"")</f>
        <v/>
      </c>
      <c r="C232" s="17" t="str">
        <f aca="false">IF(Transações!B232&lt;&gt;"",Transações!B232,"")</f>
        <v/>
      </c>
      <c r="D232" s="18" t="str">
        <f aca="false">IF(Transações!D232&lt;&gt;"",Transações!D232,"")</f>
        <v/>
      </c>
      <c r="E232" s="19" t="str">
        <f aca="false">IF(Transações!E232&lt;&gt;"",Transações!E232,"")</f>
        <v/>
      </c>
      <c r="F232" s="12" t="str">
        <f aca="false">IF(C232="Compra",D232*E232,IF(C232="Staking",D232*E232,""))</f>
        <v/>
      </c>
      <c r="G232" s="12" t="str">
        <f aca="false">IF(C232="Venda",IF(COUNTIF(A$3:A231,A232)&gt;0,(E232-SUMPRODUCT((A$3:A231=A232)*(C$3:C231="Compra")*F$3:F231)/IF(SUMPRODUCT((A$3:A231=A232)*(C$3:C231="Compra")*D$3:D231)=0,1,SUMPRODUCT((A$3:A231=A232)*(C$3:C231="Compra")*D$3:D231)))*D232,0),"")</f>
        <v/>
      </c>
      <c r="H232" s="12" t="str">
        <f aca="false">IF(C232="Venda",E232*D232,"")</f>
        <v/>
      </c>
    </row>
    <row r="233" customFormat="false" ht="15" hidden="false" customHeight="false" outlineLevel="0" collapsed="false">
      <c r="A233" s="14" t="str">
        <f aca="false">IF(Transações!C233&lt;&gt;"",Transações!C233,"")</f>
        <v/>
      </c>
      <c r="B233" s="14" t="str">
        <f aca="false">IF(Transações!A233&lt;&gt;"",Transações!A233,"")</f>
        <v/>
      </c>
      <c r="C233" s="14" t="str">
        <f aca="false">IF(Transações!B233&lt;&gt;"",Transações!B233,"")</f>
        <v/>
      </c>
      <c r="D233" s="15" t="str">
        <f aca="false">IF(Transações!D233&lt;&gt;"",Transações!D233,"")</f>
        <v/>
      </c>
      <c r="E233" s="16" t="str">
        <f aca="false">IF(Transações!E233&lt;&gt;"",Transações!E233,"")</f>
        <v/>
      </c>
      <c r="F233" s="7" t="str">
        <f aca="false">IF(C233="Compra",D233*E233,IF(C233="Staking",D233*E233,""))</f>
        <v/>
      </c>
      <c r="G233" s="7" t="str">
        <f aca="false">IF(C233="Venda",IF(COUNTIF(A$3:A232,A233)&gt;0,(E233-SUMPRODUCT((A$3:A232=A233)*(C$3:C232="Compra")*F$3:F232)/IF(SUMPRODUCT((A$3:A232=A233)*(C$3:C232="Compra")*D$3:D232)=0,1,SUMPRODUCT((A$3:A232=A233)*(C$3:C232="Compra")*D$3:D232)))*D233,0),"")</f>
        <v/>
      </c>
      <c r="H233" s="7" t="str">
        <f aca="false">IF(C233="Venda",E233*D233,"")</f>
        <v/>
      </c>
    </row>
    <row r="234" customFormat="false" ht="15" hidden="false" customHeight="false" outlineLevel="0" collapsed="false">
      <c r="A234" s="17" t="str">
        <f aca="false">IF(Transações!C234&lt;&gt;"",Transações!C234,"")</f>
        <v/>
      </c>
      <c r="B234" s="17" t="str">
        <f aca="false">IF(Transações!A234&lt;&gt;"",Transações!A234,"")</f>
        <v/>
      </c>
      <c r="C234" s="17" t="str">
        <f aca="false">IF(Transações!B234&lt;&gt;"",Transações!B234,"")</f>
        <v/>
      </c>
      <c r="D234" s="18" t="str">
        <f aca="false">IF(Transações!D234&lt;&gt;"",Transações!D234,"")</f>
        <v/>
      </c>
      <c r="E234" s="19" t="str">
        <f aca="false">IF(Transações!E234&lt;&gt;"",Transações!E234,"")</f>
        <v/>
      </c>
      <c r="F234" s="12" t="str">
        <f aca="false">IF(C234="Compra",D234*E234,IF(C234="Staking",D234*E234,""))</f>
        <v/>
      </c>
      <c r="G234" s="12" t="str">
        <f aca="false">IF(C234="Venda",IF(COUNTIF(A$3:A233,A234)&gt;0,(E234-SUMPRODUCT((A$3:A233=A234)*(C$3:C233="Compra")*F$3:F233)/IF(SUMPRODUCT((A$3:A233=A234)*(C$3:C233="Compra")*D$3:D233)=0,1,SUMPRODUCT((A$3:A233=A234)*(C$3:C233="Compra")*D$3:D233)))*D234,0),"")</f>
        <v/>
      </c>
      <c r="H234" s="12" t="str">
        <f aca="false">IF(C234="Venda",E234*D234,"")</f>
        <v/>
      </c>
    </row>
    <row r="235" customFormat="false" ht="15" hidden="false" customHeight="false" outlineLevel="0" collapsed="false">
      <c r="A235" s="14" t="str">
        <f aca="false">IF(Transações!C235&lt;&gt;"",Transações!C235,"")</f>
        <v/>
      </c>
      <c r="B235" s="14" t="str">
        <f aca="false">IF(Transações!A235&lt;&gt;"",Transações!A235,"")</f>
        <v/>
      </c>
      <c r="C235" s="14" t="str">
        <f aca="false">IF(Transações!B235&lt;&gt;"",Transações!B235,"")</f>
        <v/>
      </c>
      <c r="D235" s="15" t="str">
        <f aca="false">IF(Transações!D235&lt;&gt;"",Transações!D235,"")</f>
        <v/>
      </c>
      <c r="E235" s="16" t="str">
        <f aca="false">IF(Transações!E235&lt;&gt;"",Transações!E235,"")</f>
        <v/>
      </c>
      <c r="F235" s="7" t="str">
        <f aca="false">IF(C235="Compra",D235*E235,IF(C235="Staking",D235*E235,""))</f>
        <v/>
      </c>
      <c r="G235" s="7" t="str">
        <f aca="false">IF(C235="Venda",IF(COUNTIF(A$3:A234,A235)&gt;0,(E235-SUMPRODUCT((A$3:A234=A235)*(C$3:C234="Compra")*F$3:F234)/IF(SUMPRODUCT((A$3:A234=A235)*(C$3:C234="Compra")*D$3:D234)=0,1,SUMPRODUCT((A$3:A234=A235)*(C$3:C234="Compra")*D$3:D234)))*D235,0),"")</f>
        <v/>
      </c>
      <c r="H235" s="7" t="str">
        <f aca="false">IF(C235="Venda",E235*D235,"")</f>
        <v/>
      </c>
    </row>
    <row r="236" customFormat="false" ht="15" hidden="false" customHeight="false" outlineLevel="0" collapsed="false">
      <c r="A236" s="17" t="str">
        <f aca="false">IF(Transações!C236&lt;&gt;"",Transações!C236,"")</f>
        <v/>
      </c>
      <c r="B236" s="17" t="str">
        <f aca="false">IF(Transações!A236&lt;&gt;"",Transações!A236,"")</f>
        <v/>
      </c>
      <c r="C236" s="17" t="str">
        <f aca="false">IF(Transações!B236&lt;&gt;"",Transações!B236,"")</f>
        <v/>
      </c>
      <c r="D236" s="18" t="str">
        <f aca="false">IF(Transações!D236&lt;&gt;"",Transações!D236,"")</f>
        <v/>
      </c>
      <c r="E236" s="19" t="str">
        <f aca="false">IF(Transações!E236&lt;&gt;"",Transações!E236,"")</f>
        <v/>
      </c>
      <c r="F236" s="12" t="str">
        <f aca="false">IF(C236="Compra",D236*E236,IF(C236="Staking",D236*E236,""))</f>
        <v/>
      </c>
      <c r="G236" s="12" t="str">
        <f aca="false">IF(C236="Venda",IF(COUNTIF(A$3:A235,A236)&gt;0,(E236-SUMPRODUCT((A$3:A235=A236)*(C$3:C235="Compra")*F$3:F235)/IF(SUMPRODUCT((A$3:A235=A236)*(C$3:C235="Compra")*D$3:D235)=0,1,SUMPRODUCT((A$3:A235=A236)*(C$3:C235="Compra")*D$3:D235)))*D236,0),"")</f>
        <v/>
      </c>
      <c r="H236" s="12" t="str">
        <f aca="false">IF(C236="Venda",E236*D236,"")</f>
        <v/>
      </c>
    </row>
    <row r="237" customFormat="false" ht="15" hidden="false" customHeight="false" outlineLevel="0" collapsed="false">
      <c r="A237" s="14" t="str">
        <f aca="false">IF(Transações!C237&lt;&gt;"",Transações!C237,"")</f>
        <v/>
      </c>
      <c r="B237" s="14" t="str">
        <f aca="false">IF(Transações!A237&lt;&gt;"",Transações!A237,"")</f>
        <v/>
      </c>
      <c r="C237" s="14" t="str">
        <f aca="false">IF(Transações!B237&lt;&gt;"",Transações!B237,"")</f>
        <v/>
      </c>
      <c r="D237" s="15" t="str">
        <f aca="false">IF(Transações!D237&lt;&gt;"",Transações!D237,"")</f>
        <v/>
      </c>
      <c r="E237" s="16" t="str">
        <f aca="false">IF(Transações!E237&lt;&gt;"",Transações!E237,"")</f>
        <v/>
      </c>
      <c r="F237" s="7" t="str">
        <f aca="false">IF(C237="Compra",D237*E237,IF(C237="Staking",D237*E237,""))</f>
        <v/>
      </c>
      <c r="G237" s="7" t="str">
        <f aca="false">IF(C237="Venda",IF(COUNTIF(A$3:A236,A237)&gt;0,(E237-SUMPRODUCT((A$3:A236=A237)*(C$3:C236="Compra")*F$3:F236)/IF(SUMPRODUCT((A$3:A236=A237)*(C$3:C236="Compra")*D$3:D236)=0,1,SUMPRODUCT((A$3:A236=A237)*(C$3:C236="Compra")*D$3:D236)))*D237,0),"")</f>
        <v/>
      </c>
      <c r="H237" s="7" t="str">
        <f aca="false">IF(C237="Venda",E237*D237,"")</f>
        <v/>
      </c>
    </row>
    <row r="238" customFormat="false" ht="15" hidden="false" customHeight="false" outlineLevel="0" collapsed="false">
      <c r="A238" s="17" t="str">
        <f aca="false">IF(Transações!C238&lt;&gt;"",Transações!C238,"")</f>
        <v/>
      </c>
      <c r="B238" s="17" t="str">
        <f aca="false">IF(Transações!A238&lt;&gt;"",Transações!A238,"")</f>
        <v/>
      </c>
      <c r="C238" s="17" t="str">
        <f aca="false">IF(Transações!B238&lt;&gt;"",Transações!B238,"")</f>
        <v/>
      </c>
      <c r="D238" s="18" t="str">
        <f aca="false">IF(Transações!D238&lt;&gt;"",Transações!D238,"")</f>
        <v/>
      </c>
      <c r="E238" s="19" t="str">
        <f aca="false">IF(Transações!E238&lt;&gt;"",Transações!E238,"")</f>
        <v/>
      </c>
      <c r="F238" s="12" t="str">
        <f aca="false">IF(C238="Compra",D238*E238,IF(C238="Staking",D238*E238,""))</f>
        <v/>
      </c>
      <c r="G238" s="12" t="str">
        <f aca="false">IF(C238="Venda",IF(COUNTIF(A$3:A237,A238)&gt;0,(E238-SUMPRODUCT((A$3:A237=A238)*(C$3:C237="Compra")*F$3:F237)/IF(SUMPRODUCT((A$3:A237=A238)*(C$3:C237="Compra")*D$3:D237)=0,1,SUMPRODUCT((A$3:A237=A238)*(C$3:C237="Compra")*D$3:D237)))*D238,0),"")</f>
        <v/>
      </c>
      <c r="H238" s="12" t="str">
        <f aca="false">IF(C238="Venda",E238*D238,"")</f>
        <v/>
      </c>
    </row>
    <row r="239" customFormat="false" ht="15" hidden="false" customHeight="false" outlineLevel="0" collapsed="false">
      <c r="A239" s="14" t="str">
        <f aca="false">IF(Transações!C239&lt;&gt;"",Transações!C239,"")</f>
        <v/>
      </c>
      <c r="B239" s="14" t="str">
        <f aca="false">IF(Transações!A239&lt;&gt;"",Transações!A239,"")</f>
        <v/>
      </c>
      <c r="C239" s="14" t="str">
        <f aca="false">IF(Transações!B239&lt;&gt;"",Transações!B239,"")</f>
        <v/>
      </c>
      <c r="D239" s="15" t="str">
        <f aca="false">IF(Transações!D239&lt;&gt;"",Transações!D239,"")</f>
        <v/>
      </c>
      <c r="E239" s="16" t="str">
        <f aca="false">IF(Transações!E239&lt;&gt;"",Transações!E239,"")</f>
        <v/>
      </c>
      <c r="F239" s="7" t="str">
        <f aca="false">IF(C239="Compra",D239*E239,IF(C239="Staking",D239*E239,""))</f>
        <v/>
      </c>
      <c r="G239" s="7" t="str">
        <f aca="false">IF(C239="Venda",IF(COUNTIF(A$3:A238,A239)&gt;0,(E239-SUMPRODUCT((A$3:A238=A239)*(C$3:C238="Compra")*F$3:F238)/IF(SUMPRODUCT((A$3:A238=A239)*(C$3:C238="Compra")*D$3:D238)=0,1,SUMPRODUCT((A$3:A238=A239)*(C$3:C238="Compra")*D$3:D238)))*D239,0),"")</f>
        <v/>
      </c>
      <c r="H239" s="7" t="str">
        <f aca="false">IF(C239="Venda",E239*D239,"")</f>
        <v/>
      </c>
    </row>
    <row r="240" customFormat="false" ht="15" hidden="false" customHeight="false" outlineLevel="0" collapsed="false">
      <c r="A240" s="17" t="str">
        <f aca="false">IF(Transações!C240&lt;&gt;"",Transações!C240,"")</f>
        <v/>
      </c>
      <c r="B240" s="17" t="str">
        <f aca="false">IF(Transações!A240&lt;&gt;"",Transações!A240,"")</f>
        <v/>
      </c>
      <c r="C240" s="17" t="str">
        <f aca="false">IF(Transações!B240&lt;&gt;"",Transações!B240,"")</f>
        <v/>
      </c>
      <c r="D240" s="18" t="str">
        <f aca="false">IF(Transações!D240&lt;&gt;"",Transações!D240,"")</f>
        <v/>
      </c>
      <c r="E240" s="19" t="str">
        <f aca="false">IF(Transações!E240&lt;&gt;"",Transações!E240,"")</f>
        <v/>
      </c>
      <c r="F240" s="12" t="str">
        <f aca="false">IF(C240="Compra",D240*E240,IF(C240="Staking",D240*E240,""))</f>
        <v/>
      </c>
      <c r="G240" s="12" t="str">
        <f aca="false">IF(C240="Venda",IF(COUNTIF(A$3:A239,A240)&gt;0,(E240-SUMPRODUCT((A$3:A239=A240)*(C$3:C239="Compra")*F$3:F239)/IF(SUMPRODUCT((A$3:A239=A240)*(C$3:C239="Compra")*D$3:D239)=0,1,SUMPRODUCT((A$3:A239=A240)*(C$3:C239="Compra")*D$3:D239)))*D240,0),"")</f>
        <v/>
      </c>
      <c r="H240" s="12" t="str">
        <f aca="false">IF(C240="Venda",E240*D240,"")</f>
        <v/>
      </c>
    </row>
    <row r="241" customFormat="false" ht="15" hidden="false" customHeight="false" outlineLevel="0" collapsed="false">
      <c r="A241" s="14" t="str">
        <f aca="false">IF(Transações!C241&lt;&gt;"",Transações!C241,"")</f>
        <v/>
      </c>
      <c r="B241" s="14" t="str">
        <f aca="false">IF(Transações!A241&lt;&gt;"",Transações!A241,"")</f>
        <v/>
      </c>
      <c r="C241" s="14" t="str">
        <f aca="false">IF(Transações!B241&lt;&gt;"",Transações!B241,"")</f>
        <v/>
      </c>
      <c r="D241" s="15" t="str">
        <f aca="false">IF(Transações!D241&lt;&gt;"",Transações!D241,"")</f>
        <v/>
      </c>
      <c r="E241" s="16" t="str">
        <f aca="false">IF(Transações!E241&lt;&gt;"",Transações!E241,"")</f>
        <v/>
      </c>
      <c r="F241" s="7" t="str">
        <f aca="false">IF(C241="Compra",D241*E241,IF(C241="Staking",D241*E241,""))</f>
        <v/>
      </c>
      <c r="G241" s="7" t="str">
        <f aca="false">IF(C241="Venda",IF(COUNTIF(A$3:A240,A241)&gt;0,(E241-SUMPRODUCT((A$3:A240=A241)*(C$3:C240="Compra")*F$3:F240)/IF(SUMPRODUCT((A$3:A240=A241)*(C$3:C240="Compra")*D$3:D240)=0,1,SUMPRODUCT((A$3:A240=A241)*(C$3:C240="Compra")*D$3:D240)))*D241,0),"")</f>
        <v/>
      </c>
      <c r="H241" s="7" t="str">
        <f aca="false">IF(C241="Venda",E241*D241,"")</f>
        <v/>
      </c>
    </row>
    <row r="242" customFormat="false" ht="15" hidden="false" customHeight="false" outlineLevel="0" collapsed="false">
      <c r="A242" s="17" t="str">
        <f aca="false">IF(Transações!C242&lt;&gt;"",Transações!C242,"")</f>
        <v/>
      </c>
      <c r="B242" s="17" t="str">
        <f aca="false">IF(Transações!A242&lt;&gt;"",Transações!A242,"")</f>
        <v/>
      </c>
      <c r="C242" s="17" t="str">
        <f aca="false">IF(Transações!B242&lt;&gt;"",Transações!B242,"")</f>
        <v/>
      </c>
      <c r="D242" s="18" t="str">
        <f aca="false">IF(Transações!D242&lt;&gt;"",Transações!D242,"")</f>
        <v/>
      </c>
      <c r="E242" s="19" t="str">
        <f aca="false">IF(Transações!E242&lt;&gt;"",Transações!E242,"")</f>
        <v/>
      </c>
      <c r="F242" s="12" t="str">
        <f aca="false">IF(C242="Compra",D242*E242,IF(C242="Staking",D242*E242,""))</f>
        <v/>
      </c>
      <c r="G242" s="12" t="str">
        <f aca="false">IF(C242="Venda",IF(COUNTIF(A$3:A241,A242)&gt;0,(E242-SUMPRODUCT((A$3:A241=A242)*(C$3:C241="Compra")*F$3:F241)/IF(SUMPRODUCT((A$3:A241=A242)*(C$3:C241="Compra")*D$3:D241)=0,1,SUMPRODUCT((A$3:A241=A242)*(C$3:C241="Compra")*D$3:D241)))*D242,0),"")</f>
        <v/>
      </c>
      <c r="H242" s="12" t="str">
        <f aca="false">IF(C242="Venda",E242*D242,"")</f>
        <v/>
      </c>
    </row>
    <row r="243" customFormat="false" ht="15" hidden="false" customHeight="false" outlineLevel="0" collapsed="false">
      <c r="A243" s="14" t="str">
        <f aca="false">IF(Transações!C243&lt;&gt;"",Transações!C243,"")</f>
        <v/>
      </c>
      <c r="B243" s="14" t="str">
        <f aca="false">IF(Transações!A243&lt;&gt;"",Transações!A243,"")</f>
        <v/>
      </c>
      <c r="C243" s="14" t="str">
        <f aca="false">IF(Transações!B243&lt;&gt;"",Transações!B243,"")</f>
        <v/>
      </c>
      <c r="D243" s="15" t="str">
        <f aca="false">IF(Transações!D243&lt;&gt;"",Transações!D243,"")</f>
        <v/>
      </c>
      <c r="E243" s="16" t="str">
        <f aca="false">IF(Transações!E243&lt;&gt;"",Transações!E243,"")</f>
        <v/>
      </c>
      <c r="F243" s="7" t="str">
        <f aca="false">IF(C243="Compra",D243*E243,IF(C243="Staking",D243*E243,""))</f>
        <v/>
      </c>
      <c r="G243" s="7" t="str">
        <f aca="false">IF(C243="Venda",IF(COUNTIF(A$3:A242,A243)&gt;0,(E243-SUMPRODUCT((A$3:A242=A243)*(C$3:C242="Compra")*F$3:F242)/IF(SUMPRODUCT((A$3:A242=A243)*(C$3:C242="Compra")*D$3:D242)=0,1,SUMPRODUCT((A$3:A242=A243)*(C$3:C242="Compra")*D$3:D242)))*D243,0),"")</f>
        <v/>
      </c>
      <c r="H243" s="7" t="str">
        <f aca="false">IF(C243="Venda",E243*D243,"")</f>
        <v/>
      </c>
    </row>
    <row r="244" customFormat="false" ht="15" hidden="false" customHeight="false" outlineLevel="0" collapsed="false">
      <c r="A244" s="17" t="str">
        <f aca="false">IF(Transações!C244&lt;&gt;"",Transações!C244,"")</f>
        <v/>
      </c>
      <c r="B244" s="17" t="str">
        <f aca="false">IF(Transações!A244&lt;&gt;"",Transações!A244,"")</f>
        <v/>
      </c>
      <c r="C244" s="17" t="str">
        <f aca="false">IF(Transações!B244&lt;&gt;"",Transações!B244,"")</f>
        <v/>
      </c>
      <c r="D244" s="18" t="str">
        <f aca="false">IF(Transações!D244&lt;&gt;"",Transações!D244,"")</f>
        <v/>
      </c>
      <c r="E244" s="19" t="str">
        <f aca="false">IF(Transações!E244&lt;&gt;"",Transações!E244,"")</f>
        <v/>
      </c>
      <c r="F244" s="12" t="str">
        <f aca="false">IF(C244="Compra",D244*E244,IF(C244="Staking",D244*E244,""))</f>
        <v/>
      </c>
      <c r="G244" s="12" t="str">
        <f aca="false">IF(C244="Venda",IF(COUNTIF(A$3:A243,A244)&gt;0,(E244-SUMPRODUCT((A$3:A243=A244)*(C$3:C243="Compra")*F$3:F243)/IF(SUMPRODUCT((A$3:A243=A244)*(C$3:C243="Compra")*D$3:D243)=0,1,SUMPRODUCT((A$3:A243=A244)*(C$3:C243="Compra")*D$3:D243)))*D244,0),"")</f>
        <v/>
      </c>
      <c r="H244" s="12" t="str">
        <f aca="false">IF(C244="Venda",E244*D244,"")</f>
        <v/>
      </c>
    </row>
    <row r="245" customFormat="false" ht="15" hidden="false" customHeight="false" outlineLevel="0" collapsed="false">
      <c r="A245" s="14" t="str">
        <f aca="false">IF(Transações!C245&lt;&gt;"",Transações!C245,"")</f>
        <v/>
      </c>
      <c r="B245" s="14" t="str">
        <f aca="false">IF(Transações!A245&lt;&gt;"",Transações!A245,"")</f>
        <v/>
      </c>
      <c r="C245" s="14" t="str">
        <f aca="false">IF(Transações!B245&lt;&gt;"",Transações!B245,"")</f>
        <v/>
      </c>
      <c r="D245" s="15" t="str">
        <f aca="false">IF(Transações!D245&lt;&gt;"",Transações!D245,"")</f>
        <v/>
      </c>
      <c r="E245" s="16" t="str">
        <f aca="false">IF(Transações!E245&lt;&gt;"",Transações!E245,"")</f>
        <v/>
      </c>
      <c r="F245" s="7" t="str">
        <f aca="false">IF(C245="Compra",D245*E245,IF(C245="Staking",D245*E245,""))</f>
        <v/>
      </c>
      <c r="G245" s="7" t="str">
        <f aca="false">IF(C245="Venda",IF(COUNTIF(A$3:A244,A245)&gt;0,(E245-SUMPRODUCT((A$3:A244=A245)*(C$3:C244="Compra")*F$3:F244)/IF(SUMPRODUCT((A$3:A244=A245)*(C$3:C244="Compra")*D$3:D244)=0,1,SUMPRODUCT((A$3:A244=A245)*(C$3:C244="Compra")*D$3:D244)))*D245,0),"")</f>
        <v/>
      </c>
      <c r="H245" s="7" t="str">
        <f aca="false">IF(C245="Venda",E245*D245,"")</f>
        <v/>
      </c>
    </row>
    <row r="246" customFormat="false" ht="15" hidden="false" customHeight="false" outlineLevel="0" collapsed="false">
      <c r="A246" s="17" t="str">
        <f aca="false">IF(Transações!C246&lt;&gt;"",Transações!C246,"")</f>
        <v/>
      </c>
      <c r="B246" s="17" t="str">
        <f aca="false">IF(Transações!A246&lt;&gt;"",Transações!A246,"")</f>
        <v/>
      </c>
      <c r="C246" s="17" t="str">
        <f aca="false">IF(Transações!B246&lt;&gt;"",Transações!B246,"")</f>
        <v/>
      </c>
      <c r="D246" s="18" t="str">
        <f aca="false">IF(Transações!D246&lt;&gt;"",Transações!D246,"")</f>
        <v/>
      </c>
      <c r="E246" s="19" t="str">
        <f aca="false">IF(Transações!E246&lt;&gt;"",Transações!E246,"")</f>
        <v/>
      </c>
      <c r="F246" s="12" t="str">
        <f aca="false">IF(C246="Compra",D246*E246,IF(C246="Staking",D246*E246,""))</f>
        <v/>
      </c>
      <c r="G246" s="12" t="str">
        <f aca="false">IF(C246="Venda",IF(COUNTIF(A$3:A245,A246)&gt;0,(E246-SUMPRODUCT((A$3:A245=A246)*(C$3:C245="Compra")*F$3:F245)/IF(SUMPRODUCT((A$3:A245=A246)*(C$3:C245="Compra")*D$3:D245)=0,1,SUMPRODUCT((A$3:A245=A246)*(C$3:C245="Compra")*D$3:D245)))*D246,0),"")</f>
        <v/>
      </c>
      <c r="H246" s="12" t="str">
        <f aca="false">IF(C246="Venda",E246*D246,"")</f>
        <v/>
      </c>
    </row>
    <row r="247" customFormat="false" ht="15" hidden="false" customHeight="false" outlineLevel="0" collapsed="false">
      <c r="A247" s="14" t="str">
        <f aca="false">IF(Transações!C247&lt;&gt;"",Transações!C247,"")</f>
        <v/>
      </c>
      <c r="B247" s="14" t="str">
        <f aca="false">IF(Transações!A247&lt;&gt;"",Transações!A247,"")</f>
        <v/>
      </c>
      <c r="C247" s="14" t="str">
        <f aca="false">IF(Transações!B247&lt;&gt;"",Transações!B247,"")</f>
        <v/>
      </c>
      <c r="D247" s="15" t="str">
        <f aca="false">IF(Transações!D247&lt;&gt;"",Transações!D247,"")</f>
        <v/>
      </c>
      <c r="E247" s="16" t="str">
        <f aca="false">IF(Transações!E247&lt;&gt;"",Transações!E247,"")</f>
        <v/>
      </c>
      <c r="F247" s="7" t="str">
        <f aca="false">IF(C247="Compra",D247*E247,IF(C247="Staking",D247*E247,""))</f>
        <v/>
      </c>
      <c r="G247" s="7" t="str">
        <f aca="false">IF(C247="Venda",IF(COUNTIF(A$3:A246,A247)&gt;0,(E247-SUMPRODUCT((A$3:A246=A247)*(C$3:C246="Compra")*F$3:F246)/IF(SUMPRODUCT((A$3:A246=A247)*(C$3:C246="Compra")*D$3:D246)=0,1,SUMPRODUCT((A$3:A246=A247)*(C$3:C246="Compra")*D$3:D246)))*D247,0),"")</f>
        <v/>
      </c>
      <c r="H247" s="7" t="str">
        <f aca="false">IF(C247="Venda",E247*D247,"")</f>
        <v/>
      </c>
    </row>
    <row r="248" customFormat="false" ht="15" hidden="false" customHeight="false" outlineLevel="0" collapsed="false">
      <c r="A248" s="17" t="str">
        <f aca="false">IF(Transações!C248&lt;&gt;"",Transações!C248,"")</f>
        <v/>
      </c>
      <c r="B248" s="17" t="str">
        <f aca="false">IF(Transações!A248&lt;&gt;"",Transações!A248,"")</f>
        <v/>
      </c>
      <c r="C248" s="17" t="str">
        <f aca="false">IF(Transações!B248&lt;&gt;"",Transações!B248,"")</f>
        <v/>
      </c>
      <c r="D248" s="18" t="str">
        <f aca="false">IF(Transações!D248&lt;&gt;"",Transações!D248,"")</f>
        <v/>
      </c>
      <c r="E248" s="19" t="str">
        <f aca="false">IF(Transações!E248&lt;&gt;"",Transações!E248,"")</f>
        <v/>
      </c>
      <c r="F248" s="12" t="str">
        <f aca="false">IF(C248="Compra",D248*E248,IF(C248="Staking",D248*E248,""))</f>
        <v/>
      </c>
      <c r="G248" s="12" t="str">
        <f aca="false">IF(C248="Venda",IF(COUNTIF(A$3:A247,A248)&gt;0,(E248-SUMPRODUCT((A$3:A247=A248)*(C$3:C247="Compra")*F$3:F247)/IF(SUMPRODUCT((A$3:A247=A248)*(C$3:C247="Compra")*D$3:D247)=0,1,SUMPRODUCT((A$3:A247=A248)*(C$3:C247="Compra")*D$3:D247)))*D248,0),"")</f>
        <v/>
      </c>
      <c r="H248" s="12" t="str">
        <f aca="false">IF(C248="Venda",E248*D248,"")</f>
        <v/>
      </c>
    </row>
    <row r="249" customFormat="false" ht="15" hidden="false" customHeight="false" outlineLevel="0" collapsed="false">
      <c r="A249" s="14" t="str">
        <f aca="false">IF(Transações!C249&lt;&gt;"",Transações!C249,"")</f>
        <v/>
      </c>
      <c r="B249" s="14" t="str">
        <f aca="false">IF(Transações!A249&lt;&gt;"",Transações!A249,"")</f>
        <v/>
      </c>
      <c r="C249" s="14" t="str">
        <f aca="false">IF(Transações!B249&lt;&gt;"",Transações!B249,"")</f>
        <v/>
      </c>
      <c r="D249" s="15" t="str">
        <f aca="false">IF(Transações!D249&lt;&gt;"",Transações!D249,"")</f>
        <v/>
      </c>
      <c r="E249" s="16" t="str">
        <f aca="false">IF(Transações!E249&lt;&gt;"",Transações!E249,"")</f>
        <v/>
      </c>
      <c r="F249" s="7" t="str">
        <f aca="false">IF(C249="Compra",D249*E249,IF(C249="Staking",D249*E249,""))</f>
        <v/>
      </c>
      <c r="G249" s="7" t="str">
        <f aca="false">IF(C249="Venda",IF(COUNTIF(A$3:A248,A249)&gt;0,(E249-SUMPRODUCT((A$3:A248=A249)*(C$3:C248="Compra")*F$3:F248)/IF(SUMPRODUCT((A$3:A248=A249)*(C$3:C248="Compra")*D$3:D248)=0,1,SUMPRODUCT((A$3:A248=A249)*(C$3:C248="Compra")*D$3:D248)))*D249,0),"")</f>
        <v/>
      </c>
      <c r="H249" s="7" t="str">
        <f aca="false">IF(C249="Venda",E249*D249,"")</f>
        <v/>
      </c>
    </row>
    <row r="250" customFormat="false" ht="15" hidden="false" customHeight="false" outlineLevel="0" collapsed="false">
      <c r="A250" s="17" t="str">
        <f aca="false">IF(Transações!C250&lt;&gt;"",Transações!C250,"")</f>
        <v/>
      </c>
      <c r="B250" s="17" t="str">
        <f aca="false">IF(Transações!A250&lt;&gt;"",Transações!A250,"")</f>
        <v/>
      </c>
      <c r="C250" s="17" t="str">
        <f aca="false">IF(Transações!B250&lt;&gt;"",Transações!B250,"")</f>
        <v/>
      </c>
      <c r="D250" s="18" t="str">
        <f aca="false">IF(Transações!D250&lt;&gt;"",Transações!D250,"")</f>
        <v/>
      </c>
      <c r="E250" s="19" t="str">
        <f aca="false">IF(Transações!E250&lt;&gt;"",Transações!E250,"")</f>
        <v/>
      </c>
      <c r="F250" s="12" t="str">
        <f aca="false">IF(C250="Compra",D250*E250,IF(C250="Staking",D250*E250,""))</f>
        <v/>
      </c>
      <c r="G250" s="12" t="str">
        <f aca="false">IF(C250="Venda",IF(COUNTIF(A$3:A249,A250)&gt;0,(E250-SUMPRODUCT((A$3:A249=A250)*(C$3:C249="Compra")*F$3:F249)/IF(SUMPRODUCT((A$3:A249=A250)*(C$3:C249="Compra")*D$3:D249)=0,1,SUMPRODUCT((A$3:A249=A250)*(C$3:C249="Compra")*D$3:D249)))*D250,0),"")</f>
        <v/>
      </c>
      <c r="H250" s="12" t="str">
        <f aca="false">IF(C250="Venda",E250*D250,"")</f>
        <v/>
      </c>
    </row>
    <row r="251" customFormat="false" ht="15" hidden="false" customHeight="false" outlineLevel="0" collapsed="false">
      <c r="A251" s="14" t="str">
        <f aca="false">IF(Transações!C251&lt;&gt;"",Transações!C251,"")</f>
        <v/>
      </c>
      <c r="B251" s="14" t="str">
        <f aca="false">IF(Transações!A251&lt;&gt;"",Transações!A251,"")</f>
        <v/>
      </c>
      <c r="C251" s="14" t="str">
        <f aca="false">IF(Transações!B251&lt;&gt;"",Transações!B251,"")</f>
        <v/>
      </c>
      <c r="D251" s="15" t="str">
        <f aca="false">IF(Transações!D251&lt;&gt;"",Transações!D251,"")</f>
        <v/>
      </c>
      <c r="E251" s="16" t="str">
        <f aca="false">IF(Transações!E251&lt;&gt;"",Transações!E251,"")</f>
        <v/>
      </c>
      <c r="F251" s="7" t="str">
        <f aca="false">IF(C251="Compra",D251*E251,IF(C251="Staking",D251*E251,""))</f>
        <v/>
      </c>
      <c r="G251" s="7" t="str">
        <f aca="false">IF(C251="Venda",IF(COUNTIF(A$3:A250,A251)&gt;0,(E251-SUMPRODUCT((A$3:A250=A251)*(C$3:C250="Compra")*F$3:F250)/IF(SUMPRODUCT((A$3:A250=A251)*(C$3:C250="Compra")*D$3:D250)=0,1,SUMPRODUCT((A$3:A250=A251)*(C$3:C250="Compra")*D$3:D250)))*D251,0),"")</f>
        <v/>
      </c>
      <c r="H251" s="7" t="str">
        <f aca="false">IF(C251="Venda",E251*D251,"")</f>
        <v/>
      </c>
    </row>
    <row r="252" customFormat="false" ht="15" hidden="false" customHeight="false" outlineLevel="0" collapsed="false">
      <c r="A252" s="17" t="str">
        <f aca="false">IF(Transações!C252&lt;&gt;"",Transações!C252,"")</f>
        <v/>
      </c>
      <c r="B252" s="17" t="str">
        <f aca="false">IF(Transações!A252&lt;&gt;"",Transações!A252,"")</f>
        <v/>
      </c>
      <c r="C252" s="17" t="str">
        <f aca="false">IF(Transações!B252&lt;&gt;"",Transações!B252,"")</f>
        <v/>
      </c>
      <c r="D252" s="18" t="str">
        <f aca="false">IF(Transações!D252&lt;&gt;"",Transações!D252,"")</f>
        <v/>
      </c>
      <c r="E252" s="19" t="str">
        <f aca="false">IF(Transações!E252&lt;&gt;"",Transações!E252,"")</f>
        <v/>
      </c>
      <c r="F252" s="12" t="str">
        <f aca="false">IF(C252="Compra",D252*E252,IF(C252="Staking",D252*E252,""))</f>
        <v/>
      </c>
      <c r="G252" s="12" t="str">
        <f aca="false">IF(C252="Venda",IF(COUNTIF(A$3:A251,A252)&gt;0,(E252-SUMPRODUCT((A$3:A251=A252)*(C$3:C251="Compra")*F$3:F251)/IF(SUMPRODUCT((A$3:A251=A252)*(C$3:C251="Compra")*D$3:D251)=0,1,SUMPRODUCT((A$3:A251=A252)*(C$3:C251="Compra")*D$3:D251)))*D252,0),"")</f>
        <v/>
      </c>
      <c r="H252" s="12" t="str">
        <f aca="false">IF(C252="Venda",E252*D252,"")</f>
        <v/>
      </c>
    </row>
    <row r="253" customFormat="false" ht="15" hidden="false" customHeight="false" outlineLevel="0" collapsed="false">
      <c r="A253" s="14" t="str">
        <f aca="false">IF(Transações!C253&lt;&gt;"",Transações!C253,"")</f>
        <v/>
      </c>
      <c r="B253" s="14" t="str">
        <f aca="false">IF(Transações!A253&lt;&gt;"",Transações!A253,"")</f>
        <v/>
      </c>
      <c r="C253" s="14" t="str">
        <f aca="false">IF(Transações!B253&lt;&gt;"",Transações!B253,"")</f>
        <v/>
      </c>
      <c r="D253" s="15" t="str">
        <f aca="false">IF(Transações!D253&lt;&gt;"",Transações!D253,"")</f>
        <v/>
      </c>
      <c r="E253" s="16" t="str">
        <f aca="false">IF(Transações!E253&lt;&gt;"",Transações!E253,"")</f>
        <v/>
      </c>
      <c r="F253" s="7" t="str">
        <f aca="false">IF(C253="Compra",D253*E253,IF(C253="Staking",D253*E253,""))</f>
        <v/>
      </c>
      <c r="G253" s="7" t="str">
        <f aca="false">IF(C253="Venda",IF(COUNTIF(A$3:A252,A253)&gt;0,(E253-SUMPRODUCT((A$3:A252=A253)*(C$3:C252="Compra")*F$3:F252)/IF(SUMPRODUCT((A$3:A252=A253)*(C$3:C252="Compra")*D$3:D252)=0,1,SUMPRODUCT((A$3:A252=A253)*(C$3:C252="Compra")*D$3:D252)))*D253,0),"")</f>
        <v/>
      </c>
      <c r="H253" s="7" t="str">
        <f aca="false">IF(C253="Venda",E253*D253,"")</f>
        <v/>
      </c>
    </row>
    <row r="254" customFormat="false" ht="15" hidden="false" customHeight="false" outlineLevel="0" collapsed="false">
      <c r="A254" s="17" t="str">
        <f aca="false">IF(Transações!C254&lt;&gt;"",Transações!C254,"")</f>
        <v/>
      </c>
      <c r="B254" s="17" t="str">
        <f aca="false">IF(Transações!A254&lt;&gt;"",Transações!A254,"")</f>
        <v/>
      </c>
      <c r="C254" s="17" t="str">
        <f aca="false">IF(Transações!B254&lt;&gt;"",Transações!B254,"")</f>
        <v/>
      </c>
      <c r="D254" s="18" t="str">
        <f aca="false">IF(Transações!D254&lt;&gt;"",Transações!D254,"")</f>
        <v/>
      </c>
      <c r="E254" s="19" t="str">
        <f aca="false">IF(Transações!E254&lt;&gt;"",Transações!E254,"")</f>
        <v/>
      </c>
      <c r="F254" s="12" t="str">
        <f aca="false">IF(C254="Compra",D254*E254,IF(C254="Staking",D254*E254,""))</f>
        <v/>
      </c>
      <c r="G254" s="12" t="str">
        <f aca="false">IF(C254="Venda",IF(COUNTIF(A$3:A253,A254)&gt;0,(E254-SUMPRODUCT((A$3:A253=A254)*(C$3:C253="Compra")*F$3:F253)/IF(SUMPRODUCT((A$3:A253=A254)*(C$3:C253="Compra")*D$3:D253)=0,1,SUMPRODUCT((A$3:A253=A254)*(C$3:C253="Compra")*D$3:D253)))*D254,0),"")</f>
        <v/>
      </c>
      <c r="H254" s="12" t="str">
        <f aca="false">IF(C254="Venda",E254*D254,"")</f>
        <v/>
      </c>
    </row>
    <row r="255" customFormat="false" ht="15" hidden="false" customHeight="false" outlineLevel="0" collapsed="false">
      <c r="A255" s="14" t="str">
        <f aca="false">IF(Transações!C255&lt;&gt;"",Transações!C255,"")</f>
        <v/>
      </c>
      <c r="B255" s="14" t="str">
        <f aca="false">IF(Transações!A255&lt;&gt;"",Transações!A255,"")</f>
        <v/>
      </c>
      <c r="C255" s="14" t="str">
        <f aca="false">IF(Transações!B255&lt;&gt;"",Transações!B255,"")</f>
        <v/>
      </c>
      <c r="D255" s="15" t="str">
        <f aca="false">IF(Transações!D255&lt;&gt;"",Transações!D255,"")</f>
        <v/>
      </c>
      <c r="E255" s="16" t="str">
        <f aca="false">IF(Transações!E255&lt;&gt;"",Transações!E255,"")</f>
        <v/>
      </c>
      <c r="F255" s="7" t="str">
        <f aca="false">IF(C255="Compra",D255*E255,IF(C255="Staking",D255*E255,""))</f>
        <v/>
      </c>
      <c r="G255" s="7" t="str">
        <f aca="false">IF(C255="Venda",IF(COUNTIF(A$3:A254,A255)&gt;0,(E255-SUMPRODUCT((A$3:A254=A255)*(C$3:C254="Compra")*F$3:F254)/IF(SUMPRODUCT((A$3:A254=A255)*(C$3:C254="Compra")*D$3:D254)=0,1,SUMPRODUCT((A$3:A254=A255)*(C$3:C254="Compra")*D$3:D254)))*D255,0),"")</f>
        <v/>
      </c>
      <c r="H255" s="7" t="str">
        <f aca="false">IF(C255="Venda",E255*D255,"")</f>
        <v/>
      </c>
    </row>
    <row r="256" customFormat="false" ht="15" hidden="false" customHeight="false" outlineLevel="0" collapsed="false">
      <c r="A256" s="17" t="str">
        <f aca="false">IF(Transações!C256&lt;&gt;"",Transações!C256,"")</f>
        <v/>
      </c>
      <c r="B256" s="17" t="str">
        <f aca="false">IF(Transações!A256&lt;&gt;"",Transações!A256,"")</f>
        <v/>
      </c>
      <c r="C256" s="17" t="str">
        <f aca="false">IF(Transações!B256&lt;&gt;"",Transações!B256,"")</f>
        <v/>
      </c>
      <c r="D256" s="18" t="str">
        <f aca="false">IF(Transações!D256&lt;&gt;"",Transações!D256,"")</f>
        <v/>
      </c>
      <c r="E256" s="19" t="str">
        <f aca="false">IF(Transações!E256&lt;&gt;"",Transações!E256,"")</f>
        <v/>
      </c>
      <c r="F256" s="12" t="str">
        <f aca="false">IF(C256="Compra",D256*E256,IF(C256="Staking",D256*E256,""))</f>
        <v/>
      </c>
      <c r="G256" s="12" t="str">
        <f aca="false">IF(C256="Venda",IF(COUNTIF(A$3:A255,A256)&gt;0,(E256-SUMPRODUCT((A$3:A255=A256)*(C$3:C255="Compra")*F$3:F255)/IF(SUMPRODUCT((A$3:A255=A256)*(C$3:C255="Compra")*D$3:D255)=0,1,SUMPRODUCT((A$3:A255=A256)*(C$3:C255="Compra")*D$3:D255)))*D256,0),"")</f>
        <v/>
      </c>
      <c r="H256" s="12" t="str">
        <f aca="false">IF(C256="Venda",E256*D256,"")</f>
        <v/>
      </c>
    </row>
    <row r="257" customFormat="false" ht="15" hidden="false" customHeight="false" outlineLevel="0" collapsed="false">
      <c r="A257" s="14" t="str">
        <f aca="false">IF(Transações!C257&lt;&gt;"",Transações!C257,"")</f>
        <v/>
      </c>
      <c r="B257" s="14" t="str">
        <f aca="false">IF(Transações!A257&lt;&gt;"",Transações!A257,"")</f>
        <v/>
      </c>
      <c r="C257" s="14" t="str">
        <f aca="false">IF(Transações!B257&lt;&gt;"",Transações!B257,"")</f>
        <v/>
      </c>
      <c r="D257" s="15" t="str">
        <f aca="false">IF(Transações!D257&lt;&gt;"",Transações!D257,"")</f>
        <v/>
      </c>
      <c r="E257" s="16" t="str">
        <f aca="false">IF(Transações!E257&lt;&gt;"",Transações!E257,"")</f>
        <v/>
      </c>
      <c r="F257" s="7" t="str">
        <f aca="false">IF(C257="Compra",D257*E257,IF(C257="Staking",D257*E257,""))</f>
        <v/>
      </c>
      <c r="G257" s="7" t="str">
        <f aca="false">IF(C257="Venda",IF(COUNTIF(A$3:A256,A257)&gt;0,(E257-SUMPRODUCT((A$3:A256=A257)*(C$3:C256="Compra")*F$3:F256)/IF(SUMPRODUCT((A$3:A256=A257)*(C$3:C256="Compra")*D$3:D256)=0,1,SUMPRODUCT((A$3:A256=A257)*(C$3:C256="Compra")*D$3:D256)))*D257,0),"")</f>
        <v/>
      </c>
      <c r="H257" s="7" t="str">
        <f aca="false">IF(C257="Venda",E257*D257,"")</f>
        <v/>
      </c>
    </row>
    <row r="258" customFormat="false" ht="15" hidden="false" customHeight="false" outlineLevel="0" collapsed="false">
      <c r="A258" s="17" t="str">
        <f aca="false">IF(Transações!C258&lt;&gt;"",Transações!C258,"")</f>
        <v/>
      </c>
      <c r="B258" s="17" t="str">
        <f aca="false">IF(Transações!A258&lt;&gt;"",Transações!A258,"")</f>
        <v/>
      </c>
      <c r="C258" s="17" t="str">
        <f aca="false">IF(Transações!B258&lt;&gt;"",Transações!B258,"")</f>
        <v/>
      </c>
      <c r="D258" s="18" t="str">
        <f aca="false">IF(Transações!D258&lt;&gt;"",Transações!D258,"")</f>
        <v/>
      </c>
      <c r="E258" s="19" t="str">
        <f aca="false">IF(Transações!E258&lt;&gt;"",Transações!E258,"")</f>
        <v/>
      </c>
      <c r="F258" s="12" t="str">
        <f aca="false">IF(C258="Compra",D258*E258,IF(C258="Staking",D258*E258,""))</f>
        <v/>
      </c>
      <c r="G258" s="12" t="str">
        <f aca="false">IF(C258="Venda",IF(COUNTIF(A$3:A257,A258)&gt;0,(E258-SUMPRODUCT((A$3:A257=A258)*(C$3:C257="Compra")*F$3:F257)/IF(SUMPRODUCT((A$3:A257=A258)*(C$3:C257="Compra")*D$3:D257)=0,1,SUMPRODUCT((A$3:A257=A258)*(C$3:C257="Compra")*D$3:D257)))*D258,0),"")</f>
        <v/>
      </c>
      <c r="H258" s="12" t="str">
        <f aca="false">IF(C258="Venda",E258*D258,"")</f>
        <v/>
      </c>
    </row>
    <row r="259" customFormat="false" ht="15" hidden="false" customHeight="false" outlineLevel="0" collapsed="false">
      <c r="A259" s="14" t="str">
        <f aca="false">IF(Transações!C259&lt;&gt;"",Transações!C259,"")</f>
        <v/>
      </c>
      <c r="B259" s="14" t="str">
        <f aca="false">IF(Transações!A259&lt;&gt;"",Transações!A259,"")</f>
        <v/>
      </c>
      <c r="C259" s="14" t="str">
        <f aca="false">IF(Transações!B259&lt;&gt;"",Transações!B259,"")</f>
        <v/>
      </c>
      <c r="D259" s="15" t="str">
        <f aca="false">IF(Transações!D259&lt;&gt;"",Transações!D259,"")</f>
        <v/>
      </c>
      <c r="E259" s="16" t="str">
        <f aca="false">IF(Transações!E259&lt;&gt;"",Transações!E259,"")</f>
        <v/>
      </c>
      <c r="F259" s="7" t="str">
        <f aca="false">IF(C259="Compra",D259*E259,IF(C259="Staking",D259*E259,""))</f>
        <v/>
      </c>
      <c r="G259" s="7" t="str">
        <f aca="false">IF(C259="Venda",IF(COUNTIF(A$3:A258,A259)&gt;0,(E259-SUMPRODUCT((A$3:A258=A259)*(C$3:C258="Compra")*F$3:F258)/IF(SUMPRODUCT((A$3:A258=A259)*(C$3:C258="Compra")*D$3:D258)=0,1,SUMPRODUCT((A$3:A258=A259)*(C$3:C258="Compra")*D$3:D258)))*D259,0),"")</f>
        <v/>
      </c>
      <c r="H259" s="7" t="str">
        <f aca="false">IF(C259="Venda",E259*D259,"")</f>
        <v/>
      </c>
    </row>
    <row r="260" customFormat="false" ht="15" hidden="false" customHeight="false" outlineLevel="0" collapsed="false">
      <c r="A260" s="17" t="str">
        <f aca="false">IF(Transações!C260&lt;&gt;"",Transações!C260,"")</f>
        <v/>
      </c>
      <c r="B260" s="17" t="str">
        <f aca="false">IF(Transações!A260&lt;&gt;"",Transações!A260,"")</f>
        <v/>
      </c>
      <c r="C260" s="17" t="str">
        <f aca="false">IF(Transações!B260&lt;&gt;"",Transações!B260,"")</f>
        <v/>
      </c>
      <c r="D260" s="18" t="str">
        <f aca="false">IF(Transações!D260&lt;&gt;"",Transações!D260,"")</f>
        <v/>
      </c>
      <c r="E260" s="19" t="str">
        <f aca="false">IF(Transações!E260&lt;&gt;"",Transações!E260,"")</f>
        <v/>
      </c>
      <c r="F260" s="12" t="str">
        <f aca="false">IF(C260="Compra",D260*E260,IF(C260="Staking",D260*E260,""))</f>
        <v/>
      </c>
      <c r="G260" s="12" t="str">
        <f aca="false">IF(C260="Venda",IF(COUNTIF(A$3:A259,A260)&gt;0,(E260-SUMPRODUCT((A$3:A259=A260)*(C$3:C259="Compra")*F$3:F259)/IF(SUMPRODUCT((A$3:A259=A260)*(C$3:C259="Compra")*D$3:D259)=0,1,SUMPRODUCT((A$3:A259=A260)*(C$3:C259="Compra")*D$3:D259)))*D260,0),"")</f>
        <v/>
      </c>
      <c r="H260" s="12" t="str">
        <f aca="false">IF(C260="Venda",E260*D260,"")</f>
        <v/>
      </c>
    </row>
    <row r="261" customFormat="false" ht="15" hidden="false" customHeight="false" outlineLevel="0" collapsed="false">
      <c r="A261" s="14" t="str">
        <f aca="false">IF(Transações!C261&lt;&gt;"",Transações!C261,"")</f>
        <v/>
      </c>
      <c r="B261" s="14" t="str">
        <f aca="false">IF(Transações!A261&lt;&gt;"",Transações!A261,"")</f>
        <v/>
      </c>
      <c r="C261" s="14" t="str">
        <f aca="false">IF(Transações!B261&lt;&gt;"",Transações!B261,"")</f>
        <v/>
      </c>
      <c r="D261" s="15" t="str">
        <f aca="false">IF(Transações!D261&lt;&gt;"",Transações!D261,"")</f>
        <v/>
      </c>
      <c r="E261" s="16" t="str">
        <f aca="false">IF(Transações!E261&lt;&gt;"",Transações!E261,"")</f>
        <v/>
      </c>
      <c r="F261" s="7" t="str">
        <f aca="false">IF(C261="Compra",D261*E261,IF(C261="Staking",D261*E261,""))</f>
        <v/>
      </c>
      <c r="G261" s="7" t="str">
        <f aca="false">IF(C261="Venda",IF(COUNTIF(A$3:A260,A261)&gt;0,(E261-SUMPRODUCT((A$3:A260=A261)*(C$3:C260="Compra")*F$3:F260)/IF(SUMPRODUCT((A$3:A260=A261)*(C$3:C260="Compra")*D$3:D260)=0,1,SUMPRODUCT((A$3:A260=A261)*(C$3:C260="Compra")*D$3:D260)))*D261,0),"")</f>
        <v/>
      </c>
      <c r="H261" s="7" t="str">
        <f aca="false">IF(C261="Venda",E261*D261,"")</f>
        <v/>
      </c>
    </row>
    <row r="262" customFormat="false" ht="15" hidden="false" customHeight="false" outlineLevel="0" collapsed="false">
      <c r="A262" s="17" t="str">
        <f aca="false">IF(Transações!C262&lt;&gt;"",Transações!C262,"")</f>
        <v/>
      </c>
      <c r="B262" s="17" t="str">
        <f aca="false">IF(Transações!A262&lt;&gt;"",Transações!A262,"")</f>
        <v/>
      </c>
      <c r="C262" s="17" t="str">
        <f aca="false">IF(Transações!B262&lt;&gt;"",Transações!B262,"")</f>
        <v/>
      </c>
      <c r="D262" s="18" t="str">
        <f aca="false">IF(Transações!D262&lt;&gt;"",Transações!D262,"")</f>
        <v/>
      </c>
      <c r="E262" s="19" t="str">
        <f aca="false">IF(Transações!E262&lt;&gt;"",Transações!E262,"")</f>
        <v/>
      </c>
      <c r="F262" s="12" t="str">
        <f aca="false">IF(C262="Compra",D262*E262,IF(C262="Staking",D262*E262,""))</f>
        <v/>
      </c>
      <c r="G262" s="12" t="str">
        <f aca="false">IF(C262="Venda",IF(COUNTIF(A$3:A261,A262)&gt;0,(E262-SUMPRODUCT((A$3:A261=A262)*(C$3:C261="Compra")*F$3:F261)/IF(SUMPRODUCT((A$3:A261=A262)*(C$3:C261="Compra")*D$3:D261)=0,1,SUMPRODUCT((A$3:A261=A262)*(C$3:C261="Compra")*D$3:D261)))*D262,0),"")</f>
        <v/>
      </c>
      <c r="H262" s="12" t="str">
        <f aca="false">IF(C262="Venda",E262*D262,"")</f>
        <v/>
      </c>
    </row>
    <row r="263" customFormat="false" ht="15" hidden="false" customHeight="false" outlineLevel="0" collapsed="false">
      <c r="A263" s="14" t="str">
        <f aca="false">IF(Transações!C263&lt;&gt;"",Transações!C263,"")</f>
        <v/>
      </c>
      <c r="B263" s="14" t="str">
        <f aca="false">IF(Transações!A263&lt;&gt;"",Transações!A263,"")</f>
        <v/>
      </c>
      <c r="C263" s="14" t="str">
        <f aca="false">IF(Transações!B263&lt;&gt;"",Transações!B263,"")</f>
        <v/>
      </c>
      <c r="D263" s="15" t="str">
        <f aca="false">IF(Transações!D263&lt;&gt;"",Transações!D263,"")</f>
        <v/>
      </c>
      <c r="E263" s="16" t="str">
        <f aca="false">IF(Transações!E263&lt;&gt;"",Transações!E263,"")</f>
        <v/>
      </c>
      <c r="F263" s="7" t="str">
        <f aca="false">IF(C263="Compra",D263*E263,IF(C263="Staking",D263*E263,""))</f>
        <v/>
      </c>
      <c r="G263" s="7" t="str">
        <f aca="false">IF(C263="Venda",IF(COUNTIF(A$3:A262,A263)&gt;0,(E263-SUMPRODUCT((A$3:A262=A263)*(C$3:C262="Compra")*F$3:F262)/IF(SUMPRODUCT((A$3:A262=A263)*(C$3:C262="Compra")*D$3:D262)=0,1,SUMPRODUCT((A$3:A262=A263)*(C$3:C262="Compra")*D$3:D262)))*D263,0),"")</f>
        <v/>
      </c>
      <c r="H263" s="7" t="str">
        <f aca="false">IF(C263="Venda",E263*D263,"")</f>
        <v/>
      </c>
    </row>
    <row r="264" customFormat="false" ht="15" hidden="false" customHeight="false" outlineLevel="0" collapsed="false">
      <c r="A264" s="17" t="str">
        <f aca="false">IF(Transações!C264&lt;&gt;"",Transações!C264,"")</f>
        <v/>
      </c>
      <c r="B264" s="17" t="str">
        <f aca="false">IF(Transações!A264&lt;&gt;"",Transações!A264,"")</f>
        <v/>
      </c>
      <c r="C264" s="17" t="str">
        <f aca="false">IF(Transações!B264&lt;&gt;"",Transações!B264,"")</f>
        <v/>
      </c>
      <c r="D264" s="18" t="str">
        <f aca="false">IF(Transações!D264&lt;&gt;"",Transações!D264,"")</f>
        <v/>
      </c>
      <c r="E264" s="19" t="str">
        <f aca="false">IF(Transações!E264&lt;&gt;"",Transações!E264,"")</f>
        <v/>
      </c>
      <c r="F264" s="12" t="str">
        <f aca="false">IF(C264="Compra",D264*E264,IF(C264="Staking",D264*E264,""))</f>
        <v/>
      </c>
      <c r="G264" s="12" t="str">
        <f aca="false">IF(C264="Venda",IF(COUNTIF(A$3:A263,A264)&gt;0,(E264-SUMPRODUCT((A$3:A263=A264)*(C$3:C263="Compra")*F$3:F263)/IF(SUMPRODUCT((A$3:A263=A264)*(C$3:C263="Compra")*D$3:D263)=0,1,SUMPRODUCT((A$3:A263=A264)*(C$3:C263="Compra")*D$3:D263)))*D264,0),"")</f>
        <v/>
      </c>
      <c r="H264" s="12" t="str">
        <f aca="false">IF(C264="Venda",E264*D264,"")</f>
        <v/>
      </c>
    </row>
    <row r="265" customFormat="false" ht="15" hidden="false" customHeight="false" outlineLevel="0" collapsed="false">
      <c r="A265" s="14" t="str">
        <f aca="false">IF(Transações!C265&lt;&gt;"",Transações!C265,"")</f>
        <v/>
      </c>
      <c r="B265" s="14" t="str">
        <f aca="false">IF(Transações!A265&lt;&gt;"",Transações!A265,"")</f>
        <v/>
      </c>
      <c r="C265" s="14" t="str">
        <f aca="false">IF(Transações!B265&lt;&gt;"",Transações!B265,"")</f>
        <v/>
      </c>
      <c r="D265" s="15" t="str">
        <f aca="false">IF(Transações!D265&lt;&gt;"",Transações!D265,"")</f>
        <v/>
      </c>
      <c r="E265" s="16" t="str">
        <f aca="false">IF(Transações!E265&lt;&gt;"",Transações!E265,"")</f>
        <v/>
      </c>
      <c r="F265" s="7" t="str">
        <f aca="false">IF(C265="Compra",D265*E265,IF(C265="Staking",D265*E265,""))</f>
        <v/>
      </c>
      <c r="G265" s="7" t="str">
        <f aca="false">IF(C265="Venda",IF(COUNTIF(A$3:A264,A265)&gt;0,(E265-SUMPRODUCT((A$3:A264=A265)*(C$3:C264="Compra")*F$3:F264)/IF(SUMPRODUCT((A$3:A264=A265)*(C$3:C264="Compra")*D$3:D264)=0,1,SUMPRODUCT((A$3:A264=A265)*(C$3:C264="Compra")*D$3:D264)))*D265,0),"")</f>
        <v/>
      </c>
      <c r="H265" s="7" t="str">
        <f aca="false">IF(C265="Venda",E265*D265,"")</f>
        <v/>
      </c>
    </row>
    <row r="266" customFormat="false" ht="15" hidden="false" customHeight="false" outlineLevel="0" collapsed="false">
      <c r="A266" s="17" t="str">
        <f aca="false">IF(Transações!C266&lt;&gt;"",Transações!C266,"")</f>
        <v/>
      </c>
      <c r="B266" s="17" t="str">
        <f aca="false">IF(Transações!A266&lt;&gt;"",Transações!A266,"")</f>
        <v/>
      </c>
      <c r="C266" s="17" t="str">
        <f aca="false">IF(Transações!B266&lt;&gt;"",Transações!B266,"")</f>
        <v/>
      </c>
      <c r="D266" s="18" t="str">
        <f aca="false">IF(Transações!D266&lt;&gt;"",Transações!D266,"")</f>
        <v/>
      </c>
      <c r="E266" s="19" t="str">
        <f aca="false">IF(Transações!E266&lt;&gt;"",Transações!E266,"")</f>
        <v/>
      </c>
      <c r="F266" s="12" t="str">
        <f aca="false">IF(C266="Compra",D266*E266,IF(C266="Staking",D266*E266,""))</f>
        <v/>
      </c>
      <c r="G266" s="12" t="str">
        <f aca="false">IF(C266="Venda",IF(COUNTIF(A$3:A265,A266)&gt;0,(E266-SUMPRODUCT((A$3:A265=A266)*(C$3:C265="Compra")*F$3:F265)/IF(SUMPRODUCT((A$3:A265=A266)*(C$3:C265="Compra")*D$3:D265)=0,1,SUMPRODUCT((A$3:A265=A266)*(C$3:C265="Compra")*D$3:D265)))*D266,0),"")</f>
        <v/>
      </c>
      <c r="H266" s="12" t="str">
        <f aca="false">IF(C266="Venda",E266*D266,"")</f>
        <v/>
      </c>
    </row>
    <row r="267" customFormat="false" ht="15" hidden="false" customHeight="false" outlineLevel="0" collapsed="false">
      <c r="A267" s="14" t="str">
        <f aca="false">IF(Transações!C267&lt;&gt;"",Transações!C267,"")</f>
        <v/>
      </c>
      <c r="B267" s="14" t="str">
        <f aca="false">IF(Transações!A267&lt;&gt;"",Transações!A267,"")</f>
        <v/>
      </c>
      <c r="C267" s="14" t="str">
        <f aca="false">IF(Transações!B267&lt;&gt;"",Transações!B267,"")</f>
        <v/>
      </c>
      <c r="D267" s="15" t="str">
        <f aca="false">IF(Transações!D267&lt;&gt;"",Transações!D267,"")</f>
        <v/>
      </c>
      <c r="E267" s="16" t="str">
        <f aca="false">IF(Transações!E267&lt;&gt;"",Transações!E267,"")</f>
        <v/>
      </c>
      <c r="F267" s="7" t="str">
        <f aca="false">IF(C267="Compra",D267*E267,IF(C267="Staking",D267*E267,""))</f>
        <v/>
      </c>
      <c r="G267" s="7" t="str">
        <f aca="false">IF(C267="Venda",IF(COUNTIF(A$3:A266,A267)&gt;0,(E267-SUMPRODUCT((A$3:A266=A267)*(C$3:C266="Compra")*F$3:F266)/IF(SUMPRODUCT((A$3:A266=A267)*(C$3:C266="Compra")*D$3:D266)=0,1,SUMPRODUCT((A$3:A266=A267)*(C$3:C266="Compra")*D$3:D266)))*D267,0),"")</f>
        <v/>
      </c>
      <c r="H267" s="7" t="str">
        <f aca="false">IF(C267="Venda",E267*D267,"")</f>
        <v/>
      </c>
    </row>
    <row r="268" customFormat="false" ht="15" hidden="false" customHeight="false" outlineLevel="0" collapsed="false">
      <c r="A268" s="17" t="str">
        <f aca="false">IF(Transações!C268&lt;&gt;"",Transações!C268,"")</f>
        <v/>
      </c>
      <c r="B268" s="17" t="str">
        <f aca="false">IF(Transações!A268&lt;&gt;"",Transações!A268,"")</f>
        <v/>
      </c>
      <c r="C268" s="17" t="str">
        <f aca="false">IF(Transações!B268&lt;&gt;"",Transações!B268,"")</f>
        <v/>
      </c>
      <c r="D268" s="18" t="str">
        <f aca="false">IF(Transações!D268&lt;&gt;"",Transações!D268,"")</f>
        <v/>
      </c>
      <c r="E268" s="19" t="str">
        <f aca="false">IF(Transações!E268&lt;&gt;"",Transações!E268,"")</f>
        <v/>
      </c>
      <c r="F268" s="12" t="str">
        <f aca="false">IF(C268="Compra",D268*E268,IF(C268="Staking",D268*E268,""))</f>
        <v/>
      </c>
      <c r="G268" s="12" t="str">
        <f aca="false">IF(C268="Venda",IF(COUNTIF(A$3:A267,A268)&gt;0,(E268-SUMPRODUCT((A$3:A267=A268)*(C$3:C267="Compra")*F$3:F267)/IF(SUMPRODUCT((A$3:A267=A268)*(C$3:C267="Compra")*D$3:D267)=0,1,SUMPRODUCT((A$3:A267=A268)*(C$3:C267="Compra")*D$3:D267)))*D268,0),"")</f>
        <v/>
      </c>
      <c r="H268" s="12" t="str">
        <f aca="false">IF(C268="Venda",E268*D268,"")</f>
        <v/>
      </c>
    </row>
    <row r="269" customFormat="false" ht="15" hidden="false" customHeight="false" outlineLevel="0" collapsed="false">
      <c r="A269" s="14" t="str">
        <f aca="false">IF(Transações!C269&lt;&gt;"",Transações!C269,"")</f>
        <v/>
      </c>
      <c r="B269" s="14" t="str">
        <f aca="false">IF(Transações!A269&lt;&gt;"",Transações!A269,"")</f>
        <v/>
      </c>
      <c r="C269" s="14" t="str">
        <f aca="false">IF(Transações!B269&lt;&gt;"",Transações!B269,"")</f>
        <v/>
      </c>
      <c r="D269" s="15" t="str">
        <f aca="false">IF(Transações!D269&lt;&gt;"",Transações!D269,"")</f>
        <v/>
      </c>
      <c r="E269" s="16" t="str">
        <f aca="false">IF(Transações!E269&lt;&gt;"",Transações!E269,"")</f>
        <v/>
      </c>
      <c r="F269" s="7" t="str">
        <f aca="false">IF(C269="Compra",D269*E269,IF(C269="Staking",D269*E269,""))</f>
        <v/>
      </c>
      <c r="G269" s="7" t="str">
        <f aca="false">IF(C269="Venda",IF(COUNTIF(A$3:A268,A269)&gt;0,(E269-SUMPRODUCT((A$3:A268=A269)*(C$3:C268="Compra")*F$3:F268)/IF(SUMPRODUCT((A$3:A268=A269)*(C$3:C268="Compra")*D$3:D268)=0,1,SUMPRODUCT((A$3:A268=A269)*(C$3:C268="Compra")*D$3:D268)))*D269,0),"")</f>
        <v/>
      </c>
      <c r="H269" s="7" t="str">
        <f aca="false">IF(C269="Venda",E269*D269,"")</f>
        <v/>
      </c>
    </row>
    <row r="270" customFormat="false" ht="15" hidden="false" customHeight="false" outlineLevel="0" collapsed="false">
      <c r="A270" s="17" t="str">
        <f aca="false">IF(Transações!C270&lt;&gt;"",Transações!C270,"")</f>
        <v/>
      </c>
      <c r="B270" s="17" t="str">
        <f aca="false">IF(Transações!A270&lt;&gt;"",Transações!A270,"")</f>
        <v/>
      </c>
      <c r="C270" s="17" t="str">
        <f aca="false">IF(Transações!B270&lt;&gt;"",Transações!B270,"")</f>
        <v/>
      </c>
      <c r="D270" s="18" t="str">
        <f aca="false">IF(Transações!D270&lt;&gt;"",Transações!D270,"")</f>
        <v/>
      </c>
      <c r="E270" s="19" t="str">
        <f aca="false">IF(Transações!E270&lt;&gt;"",Transações!E270,"")</f>
        <v/>
      </c>
      <c r="F270" s="12" t="str">
        <f aca="false">IF(C270="Compra",D270*E270,IF(C270="Staking",D270*E270,""))</f>
        <v/>
      </c>
      <c r="G270" s="12" t="str">
        <f aca="false">IF(C270="Venda",IF(COUNTIF(A$3:A269,A270)&gt;0,(E270-SUMPRODUCT((A$3:A269=A270)*(C$3:C269="Compra")*F$3:F269)/IF(SUMPRODUCT((A$3:A269=A270)*(C$3:C269="Compra")*D$3:D269)=0,1,SUMPRODUCT((A$3:A269=A270)*(C$3:C269="Compra")*D$3:D269)))*D270,0),"")</f>
        <v/>
      </c>
      <c r="H270" s="12" t="str">
        <f aca="false">IF(C270="Venda",E270*D270,"")</f>
        <v/>
      </c>
    </row>
    <row r="271" customFormat="false" ht="15" hidden="false" customHeight="false" outlineLevel="0" collapsed="false">
      <c r="A271" s="14" t="str">
        <f aca="false">IF(Transações!C271&lt;&gt;"",Transações!C271,"")</f>
        <v/>
      </c>
      <c r="B271" s="14" t="str">
        <f aca="false">IF(Transações!A271&lt;&gt;"",Transações!A271,"")</f>
        <v/>
      </c>
      <c r="C271" s="14" t="str">
        <f aca="false">IF(Transações!B271&lt;&gt;"",Transações!B271,"")</f>
        <v/>
      </c>
      <c r="D271" s="15" t="str">
        <f aca="false">IF(Transações!D271&lt;&gt;"",Transações!D271,"")</f>
        <v/>
      </c>
      <c r="E271" s="16" t="str">
        <f aca="false">IF(Transações!E271&lt;&gt;"",Transações!E271,"")</f>
        <v/>
      </c>
      <c r="F271" s="7" t="str">
        <f aca="false">IF(C271="Compra",D271*E271,IF(C271="Staking",D271*E271,""))</f>
        <v/>
      </c>
      <c r="G271" s="7" t="str">
        <f aca="false">IF(C271="Venda",IF(COUNTIF(A$3:A270,A271)&gt;0,(E271-SUMPRODUCT((A$3:A270=A271)*(C$3:C270="Compra")*F$3:F270)/IF(SUMPRODUCT((A$3:A270=A271)*(C$3:C270="Compra")*D$3:D270)=0,1,SUMPRODUCT((A$3:A270=A271)*(C$3:C270="Compra")*D$3:D270)))*D271,0),"")</f>
        <v/>
      </c>
      <c r="H271" s="7" t="str">
        <f aca="false">IF(C271="Venda",E271*D271,"")</f>
        <v/>
      </c>
    </row>
    <row r="272" customFormat="false" ht="15" hidden="false" customHeight="false" outlineLevel="0" collapsed="false">
      <c r="A272" s="17" t="str">
        <f aca="false">IF(Transações!C272&lt;&gt;"",Transações!C272,"")</f>
        <v/>
      </c>
      <c r="B272" s="17" t="str">
        <f aca="false">IF(Transações!A272&lt;&gt;"",Transações!A272,"")</f>
        <v/>
      </c>
      <c r="C272" s="17" t="str">
        <f aca="false">IF(Transações!B272&lt;&gt;"",Transações!B272,"")</f>
        <v/>
      </c>
      <c r="D272" s="18" t="str">
        <f aca="false">IF(Transações!D272&lt;&gt;"",Transações!D272,"")</f>
        <v/>
      </c>
      <c r="E272" s="19" t="str">
        <f aca="false">IF(Transações!E272&lt;&gt;"",Transações!E272,"")</f>
        <v/>
      </c>
      <c r="F272" s="12" t="str">
        <f aca="false">IF(C272="Compra",D272*E272,IF(C272="Staking",D272*E272,""))</f>
        <v/>
      </c>
      <c r="G272" s="12" t="str">
        <f aca="false">IF(C272="Venda",IF(COUNTIF(A$3:A271,A272)&gt;0,(E272-SUMPRODUCT((A$3:A271=A272)*(C$3:C271="Compra")*F$3:F271)/IF(SUMPRODUCT((A$3:A271=A272)*(C$3:C271="Compra")*D$3:D271)=0,1,SUMPRODUCT((A$3:A271=A272)*(C$3:C271="Compra")*D$3:D271)))*D272,0),"")</f>
        <v/>
      </c>
      <c r="H272" s="12" t="str">
        <f aca="false">IF(C272="Venda",E272*D272,"")</f>
        <v/>
      </c>
    </row>
    <row r="273" customFormat="false" ht="15" hidden="false" customHeight="false" outlineLevel="0" collapsed="false">
      <c r="A273" s="14" t="str">
        <f aca="false">IF(Transações!C273&lt;&gt;"",Transações!C273,"")</f>
        <v/>
      </c>
      <c r="B273" s="14" t="str">
        <f aca="false">IF(Transações!A273&lt;&gt;"",Transações!A273,"")</f>
        <v/>
      </c>
      <c r="C273" s="14" t="str">
        <f aca="false">IF(Transações!B273&lt;&gt;"",Transações!B273,"")</f>
        <v/>
      </c>
      <c r="D273" s="15" t="str">
        <f aca="false">IF(Transações!D273&lt;&gt;"",Transações!D273,"")</f>
        <v/>
      </c>
      <c r="E273" s="16" t="str">
        <f aca="false">IF(Transações!E273&lt;&gt;"",Transações!E273,"")</f>
        <v/>
      </c>
      <c r="F273" s="7" t="str">
        <f aca="false">IF(C273="Compra",D273*E273,IF(C273="Staking",D273*E273,""))</f>
        <v/>
      </c>
      <c r="G273" s="7" t="str">
        <f aca="false">IF(C273="Venda",IF(COUNTIF(A$3:A272,A273)&gt;0,(E273-SUMPRODUCT((A$3:A272=A273)*(C$3:C272="Compra")*F$3:F272)/IF(SUMPRODUCT((A$3:A272=A273)*(C$3:C272="Compra")*D$3:D272)=0,1,SUMPRODUCT((A$3:A272=A273)*(C$3:C272="Compra")*D$3:D272)))*D273,0),"")</f>
        <v/>
      </c>
      <c r="H273" s="7" t="str">
        <f aca="false">IF(C273="Venda",E273*D273,"")</f>
        <v/>
      </c>
    </row>
    <row r="274" customFormat="false" ht="15" hidden="false" customHeight="false" outlineLevel="0" collapsed="false">
      <c r="A274" s="17" t="str">
        <f aca="false">IF(Transações!C274&lt;&gt;"",Transações!C274,"")</f>
        <v/>
      </c>
      <c r="B274" s="17" t="str">
        <f aca="false">IF(Transações!A274&lt;&gt;"",Transações!A274,"")</f>
        <v/>
      </c>
      <c r="C274" s="17" t="str">
        <f aca="false">IF(Transações!B274&lt;&gt;"",Transações!B274,"")</f>
        <v/>
      </c>
      <c r="D274" s="18" t="str">
        <f aca="false">IF(Transações!D274&lt;&gt;"",Transações!D274,"")</f>
        <v/>
      </c>
      <c r="E274" s="19" t="str">
        <f aca="false">IF(Transações!E274&lt;&gt;"",Transações!E274,"")</f>
        <v/>
      </c>
      <c r="F274" s="12" t="str">
        <f aca="false">IF(C274="Compra",D274*E274,IF(C274="Staking",D274*E274,""))</f>
        <v/>
      </c>
      <c r="G274" s="12" t="str">
        <f aca="false">IF(C274="Venda",IF(COUNTIF(A$3:A273,A274)&gt;0,(E274-SUMPRODUCT((A$3:A273=A274)*(C$3:C273="Compra")*F$3:F273)/IF(SUMPRODUCT((A$3:A273=A274)*(C$3:C273="Compra")*D$3:D273)=0,1,SUMPRODUCT((A$3:A273=A274)*(C$3:C273="Compra")*D$3:D273)))*D274,0),"")</f>
        <v/>
      </c>
      <c r="H274" s="12" t="str">
        <f aca="false">IF(C274="Venda",E274*D274,"")</f>
        <v/>
      </c>
    </row>
    <row r="275" customFormat="false" ht="15" hidden="false" customHeight="false" outlineLevel="0" collapsed="false">
      <c r="A275" s="14" t="str">
        <f aca="false">IF(Transações!C275&lt;&gt;"",Transações!C275,"")</f>
        <v/>
      </c>
      <c r="B275" s="14" t="str">
        <f aca="false">IF(Transações!A275&lt;&gt;"",Transações!A275,"")</f>
        <v/>
      </c>
      <c r="C275" s="14" t="str">
        <f aca="false">IF(Transações!B275&lt;&gt;"",Transações!B275,"")</f>
        <v/>
      </c>
      <c r="D275" s="15" t="str">
        <f aca="false">IF(Transações!D275&lt;&gt;"",Transações!D275,"")</f>
        <v/>
      </c>
      <c r="E275" s="16" t="str">
        <f aca="false">IF(Transações!E275&lt;&gt;"",Transações!E275,"")</f>
        <v/>
      </c>
      <c r="F275" s="7" t="str">
        <f aca="false">IF(C275="Compra",D275*E275,IF(C275="Staking",D275*E275,""))</f>
        <v/>
      </c>
      <c r="G275" s="7" t="str">
        <f aca="false">IF(C275="Venda",IF(COUNTIF(A$3:A274,A275)&gt;0,(E275-SUMPRODUCT((A$3:A274=A275)*(C$3:C274="Compra")*F$3:F274)/IF(SUMPRODUCT((A$3:A274=A275)*(C$3:C274="Compra")*D$3:D274)=0,1,SUMPRODUCT((A$3:A274=A275)*(C$3:C274="Compra")*D$3:D274)))*D275,0),"")</f>
        <v/>
      </c>
      <c r="H275" s="7" t="str">
        <f aca="false">IF(C275="Venda",E275*D275,"")</f>
        <v/>
      </c>
    </row>
    <row r="276" customFormat="false" ht="15" hidden="false" customHeight="false" outlineLevel="0" collapsed="false">
      <c r="A276" s="17" t="str">
        <f aca="false">IF(Transações!C276&lt;&gt;"",Transações!C276,"")</f>
        <v/>
      </c>
      <c r="B276" s="17" t="str">
        <f aca="false">IF(Transações!A276&lt;&gt;"",Transações!A276,"")</f>
        <v/>
      </c>
      <c r="C276" s="17" t="str">
        <f aca="false">IF(Transações!B276&lt;&gt;"",Transações!B276,"")</f>
        <v/>
      </c>
      <c r="D276" s="18" t="str">
        <f aca="false">IF(Transações!D276&lt;&gt;"",Transações!D276,"")</f>
        <v/>
      </c>
      <c r="E276" s="19" t="str">
        <f aca="false">IF(Transações!E276&lt;&gt;"",Transações!E276,"")</f>
        <v/>
      </c>
      <c r="F276" s="12" t="str">
        <f aca="false">IF(C276="Compra",D276*E276,IF(C276="Staking",D276*E276,""))</f>
        <v/>
      </c>
      <c r="G276" s="12" t="str">
        <f aca="false">IF(C276="Venda",IF(COUNTIF(A$3:A275,A276)&gt;0,(E276-SUMPRODUCT((A$3:A275=A276)*(C$3:C275="Compra")*F$3:F275)/IF(SUMPRODUCT((A$3:A275=A276)*(C$3:C275="Compra")*D$3:D275)=0,1,SUMPRODUCT((A$3:A275=A276)*(C$3:C275="Compra")*D$3:D275)))*D276,0),"")</f>
        <v/>
      </c>
      <c r="H276" s="12" t="str">
        <f aca="false">IF(C276="Venda",E276*D276,"")</f>
        <v/>
      </c>
    </row>
    <row r="277" customFormat="false" ht="15" hidden="false" customHeight="false" outlineLevel="0" collapsed="false">
      <c r="A277" s="14" t="str">
        <f aca="false">IF(Transações!C277&lt;&gt;"",Transações!C277,"")</f>
        <v/>
      </c>
      <c r="B277" s="14" t="str">
        <f aca="false">IF(Transações!A277&lt;&gt;"",Transações!A277,"")</f>
        <v/>
      </c>
      <c r="C277" s="14" t="str">
        <f aca="false">IF(Transações!B277&lt;&gt;"",Transações!B277,"")</f>
        <v/>
      </c>
      <c r="D277" s="15" t="str">
        <f aca="false">IF(Transações!D277&lt;&gt;"",Transações!D277,"")</f>
        <v/>
      </c>
      <c r="E277" s="16" t="str">
        <f aca="false">IF(Transações!E277&lt;&gt;"",Transações!E277,"")</f>
        <v/>
      </c>
      <c r="F277" s="7" t="str">
        <f aca="false">IF(C277="Compra",D277*E277,IF(C277="Staking",D277*E277,""))</f>
        <v/>
      </c>
      <c r="G277" s="7" t="str">
        <f aca="false">IF(C277="Venda",IF(COUNTIF(A$3:A276,A277)&gt;0,(E277-SUMPRODUCT((A$3:A276=A277)*(C$3:C276="Compra")*F$3:F276)/IF(SUMPRODUCT((A$3:A276=A277)*(C$3:C276="Compra")*D$3:D276)=0,1,SUMPRODUCT((A$3:A276=A277)*(C$3:C276="Compra")*D$3:D276)))*D277,0),"")</f>
        <v/>
      </c>
      <c r="H277" s="7" t="str">
        <f aca="false">IF(C277="Venda",E277*D277,"")</f>
        <v/>
      </c>
    </row>
    <row r="278" customFormat="false" ht="15" hidden="false" customHeight="false" outlineLevel="0" collapsed="false">
      <c r="A278" s="17" t="str">
        <f aca="false">IF(Transações!C278&lt;&gt;"",Transações!C278,"")</f>
        <v/>
      </c>
      <c r="B278" s="17" t="str">
        <f aca="false">IF(Transações!A278&lt;&gt;"",Transações!A278,"")</f>
        <v/>
      </c>
      <c r="C278" s="17" t="str">
        <f aca="false">IF(Transações!B278&lt;&gt;"",Transações!B278,"")</f>
        <v/>
      </c>
      <c r="D278" s="18" t="str">
        <f aca="false">IF(Transações!D278&lt;&gt;"",Transações!D278,"")</f>
        <v/>
      </c>
      <c r="E278" s="19" t="str">
        <f aca="false">IF(Transações!E278&lt;&gt;"",Transações!E278,"")</f>
        <v/>
      </c>
      <c r="F278" s="12" t="str">
        <f aca="false">IF(C278="Compra",D278*E278,IF(C278="Staking",D278*E278,""))</f>
        <v/>
      </c>
      <c r="G278" s="12" t="str">
        <f aca="false">IF(C278="Venda",IF(COUNTIF(A$3:A277,A278)&gt;0,(E278-SUMPRODUCT((A$3:A277=A278)*(C$3:C277="Compra")*F$3:F277)/IF(SUMPRODUCT((A$3:A277=A278)*(C$3:C277="Compra")*D$3:D277)=0,1,SUMPRODUCT((A$3:A277=A278)*(C$3:C277="Compra")*D$3:D277)))*D278,0),"")</f>
        <v/>
      </c>
      <c r="H278" s="12" t="str">
        <f aca="false">IF(C278="Venda",E278*D278,"")</f>
        <v/>
      </c>
    </row>
    <row r="279" customFormat="false" ht="15" hidden="false" customHeight="false" outlineLevel="0" collapsed="false">
      <c r="A279" s="14" t="str">
        <f aca="false">IF(Transações!C279&lt;&gt;"",Transações!C279,"")</f>
        <v/>
      </c>
      <c r="B279" s="14" t="str">
        <f aca="false">IF(Transações!A279&lt;&gt;"",Transações!A279,"")</f>
        <v/>
      </c>
      <c r="C279" s="14" t="str">
        <f aca="false">IF(Transações!B279&lt;&gt;"",Transações!B279,"")</f>
        <v/>
      </c>
      <c r="D279" s="15" t="str">
        <f aca="false">IF(Transações!D279&lt;&gt;"",Transações!D279,"")</f>
        <v/>
      </c>
      <c r="E279" s="16" t="str">
        <f aca="false">IF(Transações!E279&lt;&gt;"",Transações!E279,"")</f>
        <v/>
      </c>
      <c r="F279" s="7" t="str">
        <f aca="false">IF(C279="Compra",D279*E279,IF(C279="Staking",D279*E279,""))</f>
        <v/>
      </c>
      <c r="G279" s="7" t="str">
        <f aca="false">IF(C279="Venda",IF(COUNTIF(A$3:A278,A279)&gt;0,(E279-SUMPRODUCT((A$3:A278=A279)*(C$3:C278="Compra")*F$3:F278)/IF(SUMPRODUCT((A$3:A278=A279)*(C$3:C278="Compra")*D$3:D278)=0,1,SUMPRODUCT((A$3:A278=A279)*(C$3:C278="Compra")*D$3:D278)))*D279,0),"")</f>
        <v/>
      </c>
      <c r="H279" s="7" t="str">
        <f aca="false">IF(C279="Venda",E279*D279,"")</f>
        <v/>
      </c>
    </row>
    <row r="280" customFormat="false" ht="15" hidden="false" customHeight="false" outlineLevel="0" collapsed="false">
      <c r="A280" s="17" t="str">
        <f aca="false">IF(Transações!C280&lt;&gt;"",Transações!C280,"")</f>
        <v/>
      </c>
      <c r="B280" s="17" t="str">
        <f aca="false">IF(Transações!A280&lt;&gt;"",Transações!A280,"")</f>
        <v/>
      </c>
      <c r="C280" s="17" t="str">
        <f aca="false">IF(Transações!B280&lt;&gt;"",Transações!B280,"")</f>
        <v/>
      </c>
      <c r="D280" s="18" t="str">
        <f aca="false">IF(Transações!D280&lt;&gt;"",Transações!D280,"")</f>
        <v/>
      </c>
      <c r="E280" s="19" t="str">
        <f aca="false">IF(Transações!E280&lt;&gt;"",Transações!E280,"")</f>
        <v/>
      </c>
      <c r="F280" s="12" t="str">
        <f aca="false">IF(C280="Compra",D280*E280,IF(C280="Staking",D280*E280,""))</f>
        <v/>
      </c>
      <c r="G280" s="12" t="str">
        <f aca="false">IF(C280="Venda",IF(COUNTIF(A$3:A279,A280)&gt;0,(E280-SUMPRODUCT((A$3:A279=A280)*(C$3:C279="Compra")*F$3:F279)/IF(SUMPRODUCT((A$3:A279=A280)*(C$3:C279="Compra")*D$3:D279)=0,1,SUMPRODUCT((A$3:A279=A280)*(C$3:C279="Compra")*D$3:D279)))*D280,0),"")</f>
        <v/>
      </c>
      <c r="H280" s="12" t="str">
        <f aca="false">IF(C280="Venda",E280*D280,"")</f>
        <v/>
      </c>
    </row>
    <row r="281" customFormat="false" ht="15" hidden="false" customHeight="false" outlineLevel="0" collapsed="false">
      <c r="A281" s="14" t="str">
        <f aca="false">IF(Transações!C281&lt;&gt;"",Transações!C281,"")</f>
        <v/>
      </c>
      <c r="B281" s="14" t="str">
        <f aca="false">IF(Transações!A281&lt;&gt;"",Transações!A281,"")</f>
        <v/>
      </c>
      <c r="C281" s="14" t="str">
        <f aca="false">IF(Transações!B281&lt;&gt;"",Transações!B281,"")</f>
        <v/>
      </c>
      <c r="D281" s="15" t="str">
        <f aca="false">IF(Transações!D281&lt;&gt;"",Transações!D281,"")</f>
        <v/>
      </c>
      <c r="E281" s="16" t="str">
        <f aca="false">IF(Transações!E281&lt;&gt;"",Transações!E281,"")</f>
        <v/>
      </c>
      <c r="F281" s="7" t="str">
        <f aca="false">IF(C281="Compra",D281*E281,IF(C281="Staking",D281*E281,""))</f>
        <v/>
      </c>
      <c r="G281" s="7" t="str">
        <f aca="false">IF(C281="Venda",IF(COUNTIF(A$3:A280,A281)&gt;0,(E281-SUMPRODUCT((A$3:A280=A281)*(C$3:C280="Compra")*F$3:F280)/IF(SUMPRODUCT((A$3:A280=A281)*(C$3:C280="Compra")*D$3:D280)=0,1,SUMPRODUCT((A$3:A280=A281)*(C$3:C280="Compra")*D$3:D280)))*D281,0),"")</f>
        <v/>
      </c>
      <c r="H281" s="7" t="str">
        <f aca="false">IF(C281="Venda",E281*D281,"")</f>
        <v/>
      </c>
    </row>
    <row r="282" customFormat="false" ht="15" hidden="false" customHeight="false" outlineLevel="0" collapsed="false">
      <c r="A282" s="17" t="str">
        <f aca="false">IF(Transações!C282&lt;&gt;"",Transações!C282,"")</f>
        <v/>
      </c>
      <c r="B282" s="17" t="str">
        <f aca="false">IF(Transações!A282&lt;&gt;"",Transações!A282,"")</f>
        <v/>
      </c>
      <c r="C282" s="17" t="str">
        <f aca="false">IF(Transações!B282&lt;&gt;"",Transações!B282,"")</f>
        <v/>
      </c>
      <c r="D282" s="18" t="str">
        <f aca="false">IF(Transações!D282&lt;&gt;"",Transações!D282,"")</f>
        <v/>
      </c>
      <c r="E282" s="19" t="str">
        <f aca="false">IF(Transações!E282&lt;&gt;"",Transações!E282,"")</f>
        <v/>
      </c>
      <c r="F282" s="12" t="str">
        <f aca="false">IF(C282="Compra",D282*E282,IF(C282="Staking",D282*E282,""))</f>
        <v/>
      </c>
      <c r="G282" s="12" t="str">
        <f aca="false">IF(C282="Venda",IF(COUNTIF(A$3:A281,A282)&gt;0,(E282-SUMPRODUCT((A$3:A281=A282)*(C$3:C281="Compra")*F$3:F281)/IF(SUMPRODUCT((A$3:A281=A282)*(C$3:C281="Compra")*D$3:D281)=0,1,SUMPRODUCT((A$3:A281=A282)*(C$3:C281="Compra")*D$3:D281)))*D282,0),"")</f>
        <v/>
      </c>
      <c r="H282" s="12" t="str">
        <f aca="false">IF(C282="Venda",E282*D282,"")</f>
        <v/>
      </c>
    </row>
    <row r="283" customFormat="false" ht="15" hidden="false" customHeight="false" outlineLevel="0" collapsed="false">
      <c r="A283" s="14" t="str">
        <f aca="false">IF(Transações!C283&lt;&gt;"",Transações!C283,"")</f>
        <v/>
      </c>
      <c r="B283" s="14" t="str">
        <f aca="false">IF(Transações!A283&lt;&gt;"",Transações!A283,"")</f>
        <v/>
      </c>
      <c r="C283" s="14" t="str">
        <f aca="false">IF(Transações!B283&lt;&gt;"",Transações!B283,"")</f>
        <v/>
      </c>
      <c r="D283" s="15" t="str">
        <f aca="false">IF(Transações!D283&lt;&gt;"",Transações!D283,"")</f>
        <v/>
      </c>
      <c r="E283" s="16" t="str">
        <f aca="false">IF(Transações!E283&lt;&gt;"",Transações!E283,"")</f>
        <v/>
      </c>
      <c r="F283" s="7" t="str">
        <f aca="false">IF(C283="Compra",D283*E283,IF(C283="Staking",D283*E283,""))</f>
        <v/>
      </c>
      <c r="G283" s="7" t="str">
        <f aca="false">IF(C283="Venda",IF(COUNTIF(A$3:A282,A283)&gt;0,(E283-SUMPRODUCT((A$3:A282=A283)*(C$3:C282="Compra")*F$3:F282)/IF(SUMPRODUCT((A$3:A282=A283)*(C$3:C282="Compra")*D$3:D282)=0,1,SUMPRODUCT((A$3:A282=A283)*(C$3:C282="Compra")*D$3:D282)))*D283,0),"")</f>
        <v/>
      </c>
      <c r="H283" s="7" t="str">
        <f aca="false">IF(C283="Venda",E283*D283,"")</f>
        <v/>
      </c>
    </row>
    <row r="284" customFormat="false" ht="15" hidden="false" customHeight="false" outlineLevel="0" collapsed="false">
      <c r="A284" s="17" t="str">
        <f aca="false">IF(Transações!C284&lt;&gt;"",Transações!C284,"")</f>
        <v/>
      </c>
      <c r="B284" s="17" t="str">
        <f aca="false">IF(Transações!A284&lt;&gt;"",Transações!A284,"")</f>
        <v/>
      </c>
      <c r="C284" s="17" t="str">
        <f aca="false">IF(Transações!B284&lt;&gt;"",Transações!B284,"")</f>
        <v/>
      </c>
      <c r="D284" s="18" t="str">
        <f aca="false">IF(Transações!D284&lt;&gt;"",Transações!D284,"")</f>
        <v/>
      </c>
      <c r="E284" s="19" t="str">
        <f aca="false">IF(Transações!E284&lt;&gt;"",Transações!E284,"")</f>
        <v/>
      </c>
      <c r="F284" s="12" t="str">
        <f aca="false">IF(C284="Compra",D284*E284,IF(C284="Staking",D284*E284,""))</f>
        <v/>
      </c>
      <c r="G284" s="12" t="str">
        <f aca="false">IF(C284="Venda",IF(COUNTIF(A$3:A283,A284)&gt;0,(E284-SUMPRODUCT((A$3:A283=A284)*(C$3:C283="Compra")*F$3:F283)/IF(SUMPRODUCT((A$3:A283=A284)*(C$3:C283="Compra")*D$3:D283)=0,1,SUMPRODUCT((A$3:A283=A284)*(C$3:C283="Compra")*D$3:D283)))*D284,0),"")</f>
        <v/>
      </c>
      <c r="H284" s="12" t="str">
        <f aca="false">IF(C284="Venda",E284*D284,"")</f>
        <v/>
      </c>
    </row>
    <row r="285" customFormat="false" ht="15" hidden="false" customHeight="false" outlineLevel="0" collapsed="false">
      <c r="A285" s="14" t="str">
        <f aca="false">IF(Transações!C285&lt;&gt;"",Transações!C285,"")</f>
        <v/>
      </c>
      <c r="B285" s="14" t="str">
        <f aca="false">IF(Transações!A285&lt;&gt;"",Transações!A285,"")</f>
        <v/>
      </c>
      <c r="C285" s="14" t="str">
        <f aca="false">IF(Transações!B285&lt;&gt;"",Transações!B285,"")</f>
        <v/>
      </c>
      <c r="D285" s="15" t="str">
        <f aca="false">IF(Transações!D285&lt;&gt;"",Transações!D285,"")</f>
        <v/>
      </c>
      <c r="E285" s="16" t="str">
        <f aca="false">IF(Transações!E285&lt;&gt;"",Transações!E285,"")</f>
        <v/>
      </c>
      <c r="F285" s="7" t="str">
        <f aca="false">IF(C285="Compra",D285*E285,IF(C285="Staking",D285*E285,""))</f>
        <v/>
      </c>
      <c r="G285" s="7" t="str">
        <f aca="false">IF(C285="Venda",IF(COUNTIF(A$3:A284,A285)&gt;0,(E285-SUMPRODUCT((A$3:A284=A285)*(C$3:C284="Compra")*F$3:F284)/IF(SUMPRODUCT((A$3:A284=A285)*(C$3:C284="Compra")*D$3:D284)=0,1,SUMPRODUCT((A$3:A284=A285)*(C$3:C284="Compra")*D$3:D284)))*D285,0),"")</f>
        <v/>
      </c>
      <c r="H285" s="7" t="str">
        <f aca="false">IF(C285="Venda",E285*D285,"")</f>
        <v/>
      </c>
    </row>
    <row r="286" customFormat="false" ht="15" hidden="false" customHeight="false" outlineLevel="0" collapsed="false">
      <c r="A286" s="17" t="str">
        <f aca="false">IF(Transações!C286&lt;&gt;"",Transações!C286,"")</f>
        <v/>
      </c>
      <c r="B286" s="17" t="str">
        <f aca="false">IF(Transações!A286&lt;&gt;"",Transações!A286,"")</f>
        <v/>
      </c>
      <c r="C286" s="17" t="str">
        <f aca="false">IF(Transações!B286&lt;&gt;"",Transações!B286,"")</f>
        <v/>
      </c>
      <c r="D286" s="18" t="str">
        <f aca="false">IF(Transações!D286&lt;&gt;"",Transações!D286,"")</f>
        <v/>
      </c>
      <c r="E286" s="19" t="str">
        <f aca="false">IF(Transações!E286&lt;&gt;"",Transações!E286,"")</f>
        <v/>
      </c>
      <c r="F286" s="12" t="str">
        <f aca="false">IF(C286="Compra",D286*E286,IF(C286="Staking",D286*E286,""))</f>
        <v/>
      </c>
      <c r="G286" s="12" t="str">
        <f aca="false">IF(C286="Venda",IF(COUNTIF(A$3:A285,A286)&gt;0,(E286-SUMPRODUCT((A$3:A285=A286)*(C$3:C285="Compra")*F$3:F285)/IF(SUMPRODUCT((A$3:A285=A286)*(C$3:C285="Compra")*D$3:D285)=0,1,SUMPRODUCT((A$3:A285=A286)*(C$3:C285="Compra")*D$3:D285)))*D286,0),"")</f>
        <v/>
      </c>
      <c r="H286" s="12" t="str">
        <f aca="false">IF(C286="Venda",E286*D286,"")</f>
        <v/>
      </c>
    </row>
    <row r="287" customFormat="false" ht="15" hidden="false" customHeight="false" outlineLevel="0" collapsed="false">
      <c r="A287" s="14" t="str">
        <f aca="false">IF(Transações!C287&lt;&gt;"",Transações!C287,"")</f>
        <v/>
      </c>
      <c r="B287" s="14" t="str">
        <f aca="false">IF(Transações!A287&lt;&gt;"",Transações!A287,"")</f>
        <v/>
      </c>
      <c r="C287" s="14" t="str">
        <f aca="false">IF(Transações!B287&lt;&gt;"",Transações!B287,"")</f>
        <v/>
      </c>
      <c r="D287" s="15" t="str">
        <f aca="false">IF(Transações!D287&lt;&gt;"",Transações!D287,"")</f>
        <v/>
      </c>
      <c r="E287" s="16" t="str">
        <f aca="false">IF(Transações!E287&lt;&gt;"",Transações!E287,"")</f>
        <v/>
      </c>
      <c r="F287" s="7" t="str">
        <f aca="false">IF(C287="Compra",D287*E287,IF(C287="Staking",D287*E287,""))</f>
        <v/>
      </c>
      <c r="G287" s="7" t="str">
        <f aca="false">IF(C287="Venda",IF(COUNTIF(A$3:A286,A287)&gt;0,(E287-SUMPRODUCT((A$3:A286=A287)*(C$3:C286="Compra")*F$3:F286)/IF(SUMPRODUCT((A$3:A286=A287)*(C$3:C286="Compra")*D$3:D286)=0,1,SUMPRODUCT((A$3:A286=A287)*(C$3:C286="Compra")*D$3:D286)))*D287,0),"")</f>
        <v/>
      </c>
      <c r="H287" s="7" t="str">
        <f aca="false">IF(C287="Venda",E287*D287,"")</f>
        <v/>
      </c>
    </row>
    <row r="288" customFormat="false" ht="15" hidden="false" customHeight="false" outlineLevel="0" collapsed="false">
      <c r="A288" s="17" t="str">
        <f aca="false">IF(Transações!C288&lt;&gt;"",Transações!C288,"")</f>
        <v/>
      </c>
      <c r="B288" s="17" t="str">
        <f aca="false">IF(Transações!A288&lt;&gt;"",Transações!A288,"")</f>
        <v/>
      </c>
      <c r="C288" s="17" t="str">
        <f aca="false">IF(Transações!B288&lt;&gt;"",Transações!B288,"")</f>
        <v/>
      </c>
      <c r="D288" s="18" t="str">
        <f aca="false">IF(Transações!D288&lt;&gt;"",Transações!D288,"")</f>
        <v/>
      </c>
      <c r="E288" s="19" t="str">
        <f aca="false">IF(Transações!E288&lt;&gt;"",Transações!E288,"")</f>
        <v/>
      </c>
      <c r="F288" s="12" t="str">
        <f aca="false">IF(C288="Compra",D288*E288,IF(C288="Staking",D288*E288,""))</f>
        <v/>
      </c>
      <c r="G288" s="12" t="str">
        <f aca="false">IF(C288="Venda",IF(COUNTIF(A$3:A287,A288)&gt;0,(E288-SUMPRODUCT((A$3:A287=A288)*(C$3:C287="Compra")*F$3:F287)/IF(SUMPRODUCT((A$3:A287=A288)*(C$3:C287="Compra")*D$3:D287)=0,1,SUMPRODUCT((A$3:A287=A288)*(C$3:C287="Compra")*D$3:D287)))*D288,0),"")</f>
        <v/>
      </c>
      <c r="H288" s="12" t="str">
        <f aca="false">IF(C288="Venda",E288*D288,"")</f>
        <v/>
      </c>
    </row>
    <row r="289" customFormat="false" ht="15" hidden="false" customHeight="false" outlineLevel="0" collapsed="false">
      <c r="A289" s="14" t="str">
        <f aca="false">IF(Transações!C289&lt;&gt;"",Transações!C289,"")</f>
        <v/>
      </c>
      <c r="B289" s="14" t="str">
        <f aca="false">IF(Transações!A289&lt;&gt;"",Transações!A289,"")</f>
        <v/>
      </c>
      <c r="C289" s="14" t="str">
        <f aca="false">IF(Transações!B289&lt;&gt;"",Transações!B289,"")</f>
        <v/>
      </c>
      <c r="D289" s="15" t="str">
        <f aca="false">IF(Transações!D289&lt;&gt;"",Transações!D289,"")</f>
        <v/>
      </c>
      <c r="E289" s="16" t="str">
        <f aca="false">IF(Transações!E289&lt;&gt;"",Transações!E289,"")</f>
        <v/>
      </c>
      <c r="F289" s="7" t="str">
        <f aca="false">IF(C289="Compra",D289*E289,IF(C289="Staking",D289*E289,""))</f>
        <v/>
      </c>
      <c r="G289" s="7" t="str">
        <f aca="false">IF(C289="Venda",IF(COUNTIF(A$3:A288,A289)&gt;0,(E289-SUMPRODUCT((A$3:A288=A289)*(C$3:C288="Compra")*F$3:F288)/IF(SUMPRODUCT((A$3:A288=A289)*(C$3:C288="Compra")*D$3:D288)=0,1,SUMPRODUCT((A$3:A288=A289)*(C$3:C288="Compra")*D$3:D288)))*D289,0),"")</f>
        <v/>
      </c>
      <c r="H289" s="7" t="str">
        <f aca="false">IF(C289="Venda",E289*D289,"")</f>
        <v/>
      </c>
    </row>
    <row r="290" customFormat="false" ht="15" hidden="false" customHeight="false" outlineLevel="0" collapsed="false">
      <c r="A290" s="17" t="str">
        <f aca="false">IF(Transações!C290&lt;&gt;"",Transações!C290,"")</f>
        <v/>
      </c>
      <c r="B290" s="17" t="str">
        <f aca="false">IF(Transações!A290&lt;&gt;"",Transações!A290,"")</f>
        <v/>
      </c>
      <c r="C290" s="17" t="str">
        <f aca="false">IF(Transações!B290&lt;&gt;"",Transações!B290,"")</f>
        <v/>
      </c>
      <c r="D290" s="18" t="str">
        <f aca="false">IF(Transações!D290&lt;&gt;"",Transações!D290,"")</f>
        <v/>
      </c>
      <c r="E290" s="19" t="str">
        <f aca="false">IF(Transações!E290&lt;&gt;"",Transações!E290,"")</f>
        <v/>
      </c>
      <c r="F290" s="12" t="str">
        <f aca="false">IF(C290="Compra",D290*E290,IF(C290="Staking",D290*E290,""))</f>
        <v/>
      </c>
      <c r="G290" s="12" t="str">
        <f aca="false">IF(C290="Venda",IF(COUNTIF(A$3:A289,A290)&gt;0,(E290-SUMPRODUCT((A$3:A289=A290)*(C$3:C289="Compra")*F$3:F289)/IF(SUMPRODUCT((A$3:A289=A290)*(C$3:C289="Compra")*D$3:D289)=0,1,SUMPRODUCT((A$3:A289=A290)*(C$3:C289="Compra")*D$3:D289)))*D290,0),"")</f>
        <v/>
      </c>
      <c r="H290" s="12" t="str">
        <f aca="false">IF(C290="Venda",E290*D290,"")</f>
        <v/>
      </c>
    </row>
    <row r="291" customFormat="false" ht="15" hidden="false" customHeight="false" outlineLevel="0" collapsed="false">
      <c r="A291" s="14" t="str">
        <f aca="false">IF(Transações!C291&lt;&gt;"",Transações!C291,"")</f>
        <v/>
      </c>
      <c r="B291" s="14" t="str">
        <f aca="false">IF(Transações!A291&lt;&gt;"",Transações!A291,"")</f>
        <v/>
      </c>
      <c r="C291" s="14" t="str">
        <f aca="false">IF(Transações!B291&lt;&gt;"",Transações!B291,"")</f>
        <v/>
      </c>
      <c r="D291" s="15" t="str">
        <f aca="false">IF(Transações!D291&lt;&gt;"",Transações!D291,"")</f>
        <v/>
      </c>
      <c r="E291" s="16" t="str">
        <f aca="false">IF(Transações!E291&lt;&gt;"",Transações!E291,"")</f>
        <v/>
      </c>
      <c r="F291" s="7" t="str">
        <f aca="false">IF(C291="Compra",D291*E291,IF(C291="Staking",D291*E291,""))</f>
        <v/>
      </c>
      <c r="G291" s="7" t="str">
        <f aca="false">IF(C291="Venda",IF(COUNTIF(A$3:A290,A291)&gt;0,(E291-SUMPRODUCT((A$3:A290=A291)*(C$3:C290="Compra")*F$3:F290)/IF(SUMPRODUCT((A$3:A290=A291)*(C$3:C290="Compra")*D$3:D290)=0,1,SUMPRODUCT((A$3:A290=A291)*(C$3:C290="Compra")*D$3:D290)))*D291,0),"")</f>
        <v/>
      </c>
      <c r="H291" s="7" t="str">
        <f aca="false">IF(C291="Venda",E291*D291,"")</f>
        <v/>
      </c>
    </row>
    <row r="292" customFormat="false" ht="15" hidden="false" customHeight="false" outlineLevel="0" collapsed="false">
      <c r="A292" s="17" t="str">
        <f aca="false">IF(Transações!C292&lt;&gt;"",Transações!C292,"")</f>
        <v/>
      </c>
      <c r="B292" s="17" t="str">
        <f aca="false">IF(Transações!A292&lt;&gt;"",Transações!A292,"")</f>
        <v/>
      </c>
      <c r="C292" s="17" t="str">
        <f aca="false">IF(Transações!B292&lt;&gt;"",Transações!B292,"")</f>
        <v/>
      </c>
      <c r="D292" s="18" t="str">
        <f aca="false">IF(Transações!D292&lt;&gt;"",Transações!D292,"")</f>
        <v/>
      </c>
      <c r="E292" s="19" t="str">
        <f aca="false">IF(Transações!E292&lt;&gt;"",Transações!E292,"")</f>
        <v/>
      </c>
      <c r="F292" s="12" t="str">
        <f aca="false">IF(C292="Compra",D292*E292,IF(C292="Staking",D292*E292,""))</f>
        <v/>
      </c>
      <c r="G292" s="12" t="str">
        <f aca="false">IF(C292="Venda",IF(COUNTIF(A$3:A291,A292)&gt;0,(E292-SUMPRODUCT((A$3:A291=A292)*(C$3:C291="Compra")*F$3:F291)/IF(SUMPRODUCT((A$3:A291=A292)*(C$3:C291="Compra")*D$3:D291)=0,1,SUMPRODUCT((A$3:A291=A292)*(C$3:C291="Compra")*D$3:D291)))*D292,0),"")</f>
        <v/>
      </c>
      <c r="H292" s="12" t="str">
        <f aca="false">IF(C292="Venda",E292*D292,"")</f>
        <v/>
      </c>
    </row>
    <row r="293" customFormat="false" ht="15" hidden="false" customHeight="false" outlineLevel="0" collapsed="false">
      <c r="A293" s="14" t="str">
        <f aca="false">IF(Transações!C293&lt;&gt;"",Transações!C293,"")</f>
        <v/>
      </c>
      <c r="B293" s="14" t="str">
        <f aca="false">IF(Transações!A293&lt;&gt;"",Transações!A293,"")</f>
        <v/>
      </c>
      <c r="C293" s="14" t="str">
        <f aca="false">IF(Transações!B293&lt;&gt;"",Transações!B293,"")</f>
        <v/>
      </c>
      <c r="D293" s="15" t="str">
        <f aca="false">IF(Transações!D293&lt;&gt;"",Transações!D293,"")</f>
        <v/>
      </c>
      <c r="E293" s="16" t="str">
        <f aca="false">IF(Transações!E293&lt;&gt;"",Transações!E293,"")</f>
        <v/>
      </c>
      <c r="F293" s="7" t="str">
        <f aca="false">IF(C293="Compra",D293*E293,IF(C293="Staking",D293*E293,""))</f>
        <v/>
      </c>
      <c r="G293" s="7" t="str">
        <f aca="false">IF(C293="Venda",IF(COUNTIF(A$3:A292,A293)&gt;0,(E293-SUMPRODUCT((A$3:A292=A293)*(C$3:C292="Compra")*F$3:F292)/IF(SUMPRODUCT((A$3:A292=A293)*(C$3:C292="Compra")*D$3:D292)=0,1,SUMPRODUCT((A$3:A292=A293)*(C$3:C292="Compra")*D$3:D292)))*D293,0),"")</f>
        <v/>
      </c>
      <c r="H293" s="7" t="str">
        <f aca="false">IF(C293="Venda",E293*D293,"")</f>
        <v/>
      </c>
    </row>
    <row r="294" customFormat="false" ht="15" hidden="false" customHeight="false" outlineLevel="0" collapsed="false">
      <c r="A294" s="17" t="str">
        <f aca="false">IF(Transações!C294&lt;&gt;"",Transações!C294,"")</f>
        <v/>
      </c>
      <c r="B294" s="17" t="str">
        <f aca="false">IF(Transações!A294&lt;&gt;"",Transações!A294,"")</f>
        <v/>
      </c>
      <c r="C294" s="17" t="str">
        <f aca="false">IF(Transações!B294&lt;&gt;"",Transações!B294,"")</f>
        <v/>
      </c>
      <c r="D294" s="18" t="str">
        <f aca="false">IF(Transações!D294&lt;&gt;"",Transações!D294,"")</f>
        <v/>
      </c>
      <c r="E294" s="19" t="str">
        <f aca="false">IF(Transações!E294&lt;&gt;"",Transações!E294,"")</f>
        <v/>
      </c>
      <c r="F294" s="12" t="str">
        <f aca="false">IF(C294="Compra",D294*E294,IF(C294="Staking",D294*E294,""))</f>
        <v/>
      </c>
      <c r="G294" s="12" t="str">
        <f aca="false">IF(C294="Venda",IF(COUNTIF(A$3:A293,A294)&gt;0,(E294-SUMPRODUCT((A$3:A293=A294)*(C$3:C293="Compra")*F$3:F293)/IF(SUMPRODUCT((A$3:A293=A294)*(C$3:C293="Compra")*D$3:D293)=0,1,SUMPRODUCT((A$3:A293=A294)*(C$3:C293="Compra")*D$3:D293)))*D294,0),"")</f>
        <v/>
      </c>
      <c r="H294" s="12" t="str">
        <f aca="false">IF(C294="Venda",E294*D294,"")</f>
        <v/>
      </c>
    </row>
    <row r="295" customFormat="false" ht="15" hidden="false" customHeight="false" outlineLevel="0" collapsed="false">
      <c r="A295" s="14" t="str">
        <f aca="false">IF(Transações!C295&lt;&gt;"",Transações!C295,"")</f>
        <v/>
      </c>
      <c r="B295" s="14" t="str">
        <f aca="false">IF(Transações!A295&lt;&gt;"",Transações!A295,"")</f>
        <v/>
      </c>
      <c r="C295" s="14" t="str">
        <f aca="false">IF(Transações!B295&lt;&gt;"",Transações!B295,"")</f>
        <v/>
      </c>
      <c r="D295" s="15" t="str">
        <f aca="false">IF(Transações!D295&lt;&gt;"",Transações!D295,"")</f>
        <v/>
      </c>
      <c r="E295" s="16" t="str">
        <f aca="false">IF(Transações!E295&lt;&gt;"",Transações!E295,"")</f>
        <v/>
      </c>
      <c r="F295" s="7" t="str">
        <f aca="false">IF(C295="Compra",D295*E295,IF(C295="Staking",D295*E295,""))</f>
        <v/>
      </c>
      <c r="G295" s="7" t="str">
        <f aca="false">IF(C295="Venda",IF(COUNTIF(A$3:A294,A295)&gt;0,(E295-SUMPRODUCT((A$3:A294=A295)*(C$3:C294="Compra")*F$3:F294)/IF(SUMPRODUCT((A$3:A294=A295)*(C$3:C294="Compra")*D$3:D294)=0,1,SUMPRODUCT((A$3:A294=A295)*(C$3:C294="Compra")*D$3:D294)))*D295,0),"")</f>
        <v/>
      </c>
      <c r="H295" s="7" t="str">
        <f aca="false">IF(C295="Venda",E295*D295,"")</f>
        <v/>
      </c>
    </row>
    <row r="296" customFormat="false" ht="15" hidden="false" customHeight="false" outlineLevel="0" collapsed="false">
      <c r="A296" s="17" t="str">
        <f aca="false">IF(Transações!C296&lt;&gt;"",Transações!C296,"")</f>
        <v/>
      </c>
      <c r="B296" s="17" t="str">
        <f aca="false">IF(Transações!A296&lt;&gt;"",Transações!A296,"")</f>
        <v/>
      </c>
      <c r="C296" s="17" t="str">
        <f aca="false">IF(Transações!B296&lt;&gt;"",Transações!B296,"")</f>
        <v/>
      </c>
      <c r="D296" s="18" t="str">
        <f aca="false">IF(Transações!D296&lt;&gt;"",Transações!D296,"")</f>
        <v/>
      </c>
      <c r="E296" s="19" t="str">
        <f aca="false">IF(Transações!E296&lt;&gt;"",Transações!E296,"")</f>
        <v/>
      </c>
      <c r="F296" s="12" t="str">
        <f aca="false">IF(C296="Compra",D296*E296,IF(C296="Staking",D296*E296,""))</f>
        <v/>
      </c>
      <c r="G296" s="12" t="str">
        <f aca="false">IF(C296="Venda",IF(COUNTIF(A$3:A295,A296)&gt;0,(E296-SUMPRODUCT((A$3:A295=A296)*(C$3:C295="Compra")*F$3:F295)/IF(SUMPRODUCT((A$3:A295=A296)*(C$3:C295="Compra")*D$3:D295)=0,1,SUMPRODUCT((A$3:A295=A296)*(C$3:C295="Compra")*D$3:D295)))*D296,0),"")</f>
        <v/>
      </c>
      <c r="H296" s="12" t="str">
        <f aca="false">IF(C296="Venda",E296*D296,"")</f>
        <v/>
      </c>
    </row>
    <row r="297" customFormat="false" ht="15" hidden="false" customHeight="false" outlineLevel="0" collapsed="false">
      <c r="A297" s="14" t="str">
        <f aca="false">IF(Transações!C297&lt;&gt;"",Transações!C297,"")</f>
        <v/>
      </c>
      <c r="B297" s="14" t="str">
        <f aca="false">IF(Transações!A297&lt;&gt;"",Transações!A297,"")</f>
        <v/>
      </c>
      <c r="C297" s="14" t="str">
        <f aca="false">IF(Transações!B297&lt;&gt;"",Transações!B297,"")</f>
        <v/>
      </c>
      <c r="D297" s="15" t="str">
        <f aca="false">IF(Transações!D297&lt;&gt;"",Transações!D297,"")</f>
        <v/>
      </c>
      <c r="E297" s="16" t="str">
        <f aca="false">IF(Transações!E297&lt;&gt;"",Transações!E297,"")</f>
        <v/>
      </c>
      <c r="F297" s="7" t="str">
        <f aca="false">IF(C297="Compra",D297*E297,IF(C297="Staking",D297*E297,""))</f>
        <v/>
      </c>
      <c r="G297" s="7" t="str">
        <f aca="false">IF(C297="Venda",IF(COUNTIF(A$3:A296,A297)&gt;0,(E297-SUMPRODUCT((A$3:A296=A297)*(C$3:C296="Compra")*F$3:F296)/IF(SUMPRODUCT((A$3:A296=A297)*(C$3:C296="Compra")*D$3:D296)=0,1,SUMPRODUCT((A$3:A296=A297)*(C$3:C296="Compra")*D$3:D296)))*D297,0),"")</f>
        <v/>
      </c>
      <c r="H297" s="7" t="str">
        <f aca="false">IF(C297="Venda",E297*D297,"")</f>
        <v/>
      </c>
    </row>
    <row r="298" customFormat="false" ht="15" hidden="false" customHeight="false" outlineLevel="0" collapsed="false">
      <c r="A298" s="17" t="str">
        <f aca="false">IF(Transações!C298&lt;&gt;"",Transações!C298,"")</f>
        <v/>
      </c>
      <c r="B298" s="17" t="str">
        <f aca="false">IF(Transações!A298&lt;&gt;"",Transações!A298,"")</f>
        <v/>
      </c>
      <c r="C298" s="17" t="str">
        <f aca="false">IF(Transações!B298&lt;&gt;"",Transações!B298,"")</f>
        <v/>
      </c>
      <c r="D298" s="18" t="str">
        <f aca="false">IF(Transações!D298&lt;&gt;"",Transações!D298,"")</f>
        <v/>
      </c>
      <c r="E298" s="19" t="str">
        <f aca="false">IF(Transações!E298&lt;&gt;"",Transações!E298,"")</f>
        <v/>
      </c>
      <c r="F298" s="12" t="str">
        <f aca="false">IF(C298="Compra",D298*E298,IF(C298="Staking",D298*E298,""))</f>
        <v/>
      </c>
      <c r="G298" s="12" t="str">
        <f aca="false">IF(C298="Venda",IF(COUNTIF(A$3:A297,A298)&gt;0,(E298-SUMPRODUCT((A$3:A297=A298)*(C$3:C297="Compra")*F$3:F297)/IF(SUMPRODUCT((A$3:A297=A298)*(C$3:C297="Compra")*D$3:D297)=0,1,SUMPRODUCT((A$3:A297=A298)*(C$3:C297="Compra")*D$3:D297)))*D298,0),"")</f>
        <v/>
      </c>
      <c r="H298" s="12" t="str">
        <f aca="false">IF(C298="Venda",E298*D298,"")</f>
        <v/>
      </c>
    </row>
    <row r="299" customFormat="false" ht="15" hidden="false" customHeight="false" outlineLevel="0" collapsed="false">
      <c r="A299" s="14" t="str">
        <f aca="false">IF(Transações!C299&lt;&gt;"",Transações!C299,"")</f>
        <v/>
      </c>
      <c r="B299" s="14" t="str">
        <f aca="false">IF(Transações!A299&lt;&gt;"",Transações!A299,"")</f>
        <v/>
      </c>
      <c r="C299" s="14" t="str">
        <f aca="false">IF(Transações!B299&lt;&gt;"",Transações!B299,"")</f>
        <v/>
      </c>
      <c r="D299" s="15" t="str">
        <f aca="false">IF(Transações!D299&lt;&gt;"",Transações!D299,"")</f>
        <v/>
      </c>
      <c r="E299" s="16" t="str">
        <f aca="false">IF(Transações!E299&lt;&gt;"",Transações!E299,"")</f>
        <v/>
      </c>
      <c r="F299" s="7" t="str">
        <f aca="false">IF(C299="Compra",D299*E299,IF(C299="Staking",D299*E299,""))</f>
        <v/>
      </c>
      <c r="G299" s="7" t="str">
        <f aca="false">IF(C299="Venda",IF(COUNTIF(A$3:A298,A299)&gt;0,(E299-SUMPRODUCT((A$3:A298=A299)*(C$3:C298="Compra")*F$3:F298)/IF(SUMPRODUCT((A$3:A298=A299)*(C$3:C298="Compra")*D$3:D298)=0,1,SUMPRODUCT((A$3:A298=A299)*(C$3:C298="Compra")*D$3:D298)))*D299,0),"")</f>
        <v/>
      </c>
      <c r="H299" s="7" t="str">
        <f aca="false">IF(C299="Venda",E299*D299,"")</f>
        <v/>
      </c>
    </row>
    <row r="300" customFormat="false" ht="15" hidden="false" customHeight="false" outlineLevel="0" collapsed="false">
      <c r="A300" s="17" t="str">
        <f aca="false">IF(Transações!C300&lt;&gt;"",Transações!C300,"")</f>
        <v/>
      </c>
      <c r="B300" s="17" t="str">
        <f aca="false">IF(Transações!A300&lt;&gt;"",Transações!A300,"")</f>
        <v/>
      </c>
      <c r="C300" s="17" t="str">
        <f aca="false">IF(Transações!B300&lt;&gt;"",Transações!B300,"")</f>
        <v/>
      </c>
      <c r="D300" s="18" t="str">
        <f aca="false">IF(Transações!D300&lt;&gt;"",Transações!D300,"")</f>
        <v/>
      </c>
      <c r="E300" s="19" t="str">
        <f aca="false">IF(Transações!E300&lt;&gt;"",Transações!E300,"")</f>
        <v/>
      </c>
      <c r="F300" s="12" t="str">
        <f aca="false">IF(C300="Compra",D300*E300,IF(C300="Staking",D300*E300,""))</f>
        <v/>
      </c>
      <c r="G300" s="12" t="str">
        <f aca="false">IF(C300="Venda",IF(COUNTIF(A$3:A299,A300)&gt;0,(E300-SUMPRODUCT((A$3:A299=A300)*(C$3:C299="Compra")*F$3:F299)/IF(SUMPRODUCT((A$3:A299=A300)*(C$3:C299="Compra")*D$3:D299)=0,1,SUMPRODUCT((A$3:A299=A300)*(C$3:C299="Compra")*D$3:D299)))*D300,0),"")</f>
        <v/>
      </c>
      <c r="H300" s="12" t="str">
        <f aca="false">IF(C300="Venda",E300*D300,"")</f>
        <v/>
      </c>
    </row>
    <row r="301" customFormat="false" ht="15" hidden="false" customHeight="false" outlineLevel="0" collapsed="false">
      <c r="A301" s="14" t="str">
        <f aca="false">IF(Transações!C301&lt;&gt;"",Transações!C301,"")</f>
        <v/>
      </c>
      <c r="B301" s="14" t="str">
        <f aca="false">IF(Transações!A301&lt;&gt;"",Transações!A301,"")</f>
        <v/>
      </c>
      <c r="C301" s="14" t="str">
        <f aca="false">IF(Transações!B301&lt;&gt;"",Transações!B301,"")</f>
        <v/>
      </c>
      <c r="D301" s="15" t="str">
        <f aca="false">IF(Transações!D301&lt;&gt;"",Transações!D301,"")</f>
        <v/>
      </c>
      <c r="E301" s="16" t="str">
        <f aca="false">IF(Transações!E301&lt;&gt;"",Transações!E301,"")</f>
        <v/>
      </c>
      <c r="F301" s="7" t="str">
        <f aca="false">IF(C301="Compra",D301*E301,IF(C301="Staking",D301*E301,""))</f>
        <v/>
      </c>
      <c r="G301" s="7" t="str">
        <f aca="false">IF(C301="Venda",IF(COUNTIF(A$3:A300,A301)&gt;0,(E301-SUMPRODUCT((A$3:A300=A301)*(C$3:C300="Compra")*F$3:F300)/IF(SUMPRODUCT((A$3:A300=A301)*(C$3:C300="Compra")*D$3:D300)=0,1,SUMPRODUCT((A$3:A300=A301)*(C$3:C300="Compra")*D$3:D300)))*D301,0),"")</f>
        <v/>
      </c>
      <c r="H301" s="7" t="str">
        <f aca="false">IF(C301="Venda",E301*D301,"")</f>
        <v/>
      </c>
    </row>
    <row r="302" customFormat="false" ht="15" hidden="false" customHeight="false" outlineLevel="0" collapsed="false">
      <c r="A302" s="17" t="str">
        <f aca="false">IF(Transações!C302&lt;&gt;"",Transações!C302,"")</f>
        <v/>
      </c>
      <c r="B302" s="17" t="str">
        <f aca="false">IF(Transações!A302&lt;&gt;"",Transações!A302,"")</f>
        <v/>
      </c>
      <c r="C302" s="17" t="str">
        <f aca="false">IF(Transações!B302&lt;&gt;"",Transações!B302,"")</f>
        <v/>
      </c>
      <c r="D302" s="18" t="str">
        <f aca="false">IF(Transações!D302&lt;&gt;"",Transações!D302,"")</f>
        <v/>
      </c>
      <c r="E302" s="19" t="str">
        <f aca="false">IF(Transações!E302&lt;&gt;"",Transações!E302,"")</f>
        <v/>
      </c>
      <c r="F302" s="12" t="str">
        <f aca="false">IF(C302="Compra",D302*E302,IF(C302="Staking",D302*E302,""))</f>
        <v/>
      </c>
      <c r="G302" s="12" t="str">
        <f aca="false">IF(C302="Venda",IF(COUNTIF(A$3:A301,A302)&gt;0,(E302-SUMPRODUCT((A$3:A301=A302)*(C$3:C301="Compra")*F$3:F301)/IF(SUMPRODUCT((A$3:A301=A302)*(C$3:C301="Compra")*D$3:D301)=0,1,SUMPRODUCT((A$3:A301=A302)*(C$3:C301="Compra")*D$3:D301)))*D302,0),"")</f>
        <v/>
      </c>
      <c r="H302" s="12" t="str">
        <f aca="false">IF(C302="Venda",E302*D302,"")</f>
        <v/>
      </c>
    </row>
    <row r="303" customFormat="false" ht="15" hidden="false" customHeight="false" outlineLevel="0" collapsed="false">
      <c r="A303" s="14" t="str">
        <f aca="false">IF(Transações!C303&lt;&gt;"",Transações!C303,"")</f>
        <v/>
      </c>
      <c r="B303" s="14" t="str">
        <f aca="false">IF(Transações!A303&lt;&gt;"",Transações!A303,"")</f>
        <v/>
      </c>
      <c r="C303" s="14" t="str">
        <f aca="false">IF(Transações!B303&lt;&gt;"",Transações!B303,"")</f>
        <v/>
      </c>
      <c r="D303" s="15" t="str">
        <f aca="false">IF(Transações!D303&lt;&gt;"",Transações!D303,"")</f>
        <v/>
      </c>
      <c r="E303" s="16" t="str">
        <f aca="false">IF(Transações!E303&lt;&gt;"",Transações!E303,"")</f>
        <v/>
      </c>
      <c r="F303" s="7" t="str">
        <f aca="false">IF(C303="Compra",D303*E303,IF(C303="Staking",D303*E303,""))</f>
        <v/>
      </c>
      <c r="G303" s="7" t="str">
        <f aca="false">IF(C303="Venda",IF(COUNTIF(A$3:A302,A303)&gt;0,(E303-SUMPRODUCT((A$3:A302=A303)*(C$3:C302="Compra")*F$3:F302)/IF(SUMPRODUCT((A$3:A302=A303)*(C$3:C302="Compra")*D$3:D302)=0,1,SUMPRODUCT((A$3:A302=A303)*(C$3:C302="Compra")*D$3:D302)))*D303,0),"")</f>
        <v/>
      </c>
      <c r="H303" s="7" t="str">
        <f aca="false">IF(C303="Venda",E303*D303,"")</f>
        <v/>
      </c>
    </row>
    <row r="304" customFormat="false" ht="15" hidden="false" customHeight="false" outlineLevel="0" collapsed="false">
      <c r="A304" s="17" t="str">
        <f aca="false">IF(Transações!C304&lt;&gt;"",Transações!C304,"")</f>
        <v/>
      </c>
      <c r="B304" s="17" t="str">
        <f aca="false">IF(Transações!A304&lt;&gt;"",Transações!A304,"")</f>
        <v/>
      </c>
      <c r="C304" s="17" t="str">
        <f aca="false">IF(Transações!B304&lt;&gt;"",Transações!B304,"")</f>
        <v/>
      </c>
      <c r="D304" s="18" t="str">
        <f aca="false">IF(Transações!D304&lt;&gt;"",Transações!D304,"")</f>
        <v/>
      </c>
      <c r="E304" s="19" t="str">
        <f aca="false">IF(Transações!E304&lt;&gt;"",Transações!E304,"")</f>
        <v/>
      </c>
      <c r="F304" s="12" t="str">
        <f aca="false">IF(C304="Compra",D304*E304,IF(C304="Staking",D304*E304,""))</f>
        <v/>
      </c>
      <c r="G304" s="12" t="str">
        <f aca="false">IF(C304="Venda",IF(COUNTIF(A$3:A303,A304)&gt;0,(E304-SUMPRODUCT((A$3:A303=A304)*(C$3:C303="Compra")*F$3:F303)/IF(SUMPRODUCT((A$3:A303=A304)*(C$3:C303="Compra")*D$3:D303)=0,1,SUMPRODUCT((A$3:A303=A304)*(C$3:C303="Compra")*D$3:D303)))*D304,0),"")</f>
        <v/>
      </c>
      <c r="H304" s="12" t="str">
        <f aca="false">IF(C304="Venda",E304*D304,"")</f>
        <v/>
      </c>
    </row>
    <row r="305" customFormat="false" ht="15" hidden="false" customHeight="false" outlineLevel="0" collapsed="false">
      <c r="A305" s="14" t="str">
        <f aca="false">IF(Transações!C305&lt;&gt;"",Transações!C305,"")</f>
        <v/>
      </c>
      <c r="B305" s="14" t="str">
        <f aca="false">IF(Transações!A305&lt;&gt;"",Transações!A305,"")</f>
        <v/>
      </c>
      <c r="C305" s="14" t="str">
        <f aca="false">IF(Transações!B305&lt;&gt;"",Transações!B305,"")</f>
        <v/>
      </c>
      <c r="D305" s="15" t="str">
        <f aca="false">IF(Transações!D305&lt;&gt;"",Transações!D305,"")</f>
        <v/>
      </c>
      <c r="E305" s="16" t="str">
        <f aca="false">IF(Transações!E305&lt;&gt;"",Transações!E305,"")</f>
        <v/>
      </c>
      <c r="F305" s="7" t="str">
        <f aca="false">IF(C305="Compra",D305*E305,IF(C305="Staking",D305*E305,""))</f>
        <v/>
      </c>
      <c r="G305" s="7" t="str">
        <f aca="false">IF(C305="Venda",IF(COUNTIF(A$3:A304,A305)&gt;0,(E305-SUMPRODUCT((A$3:A304=A305)*(C$3:C304="Compra")*F$3:F304)/IF(SUMPRODUCT((A$3:A304=A305)*(C$3:C304="Compra")*D$3:D304)=0,1,SUMPRODUCT((A$3:A304=A305)*(C$3:C304="Compra")*D$3:D304)))*D305,0),"")</f>
        <v/>
      </c>
      <c r="H305" s="7" t="str">
        <f aca="false">IF(C305="Venda",E305*D305,"")</f>
        <v/>
      </c>
    </row>
    <row r="306" customFormat="false" ht="15" hidden="false" customHeight="false" outlineLevel="0" collapsed="false">
      <c r="A306" s="17" t="str">
        <f aca="false">IF(Transações!C306&lt;&gt;"",Transações!C306,"")</f>
        <v/>
      </c>
      <c r="B306" s="17" t="str">
        <f aca="false">IF(Transações!A306&lt;&gt;"",Transações!A306,"")</f>
        <v/>
      </c>
      <c r="C306" s="17" t="str">
        <f aca="false">IF(Transações!B306&lt;&gt;"",Transações!B306,"")</f>
        <v/>
      </c>
      <c r="D306" s="18" t="str">
        <f aca="false">IF(Transações!D306&lt;&gt;"",Transações!D306,"")</f>
        <v/>
      </c>
      <c r="E306" s="19" t="str">
        <f aca="false">IF(Transações!E306&lt;&gt;"",Transações!E306,"")</f>
        <v/>
      </c>
      <c r="F306" s="12" t="str">
        <f aca="false">IF(C306="Compra",D306*E306,IF(C306="Staking",D306*E306,""))</f>
        <v/>
      </c>
      <c r="G306" s="12" t="str">
        <f aca="false">IF(C306="Venda",IF(COUNTIF(A$3:A305,A306)&gt;0,(E306-SUMPRODUCT((A$3:A305=A306)*(C$3:C305="Compra")*F$3:F305)/IF(SUMPRODUCT((A$3:A305=A306)*(C$3:C305="Compra")*D$3:D305)=0,1,SUMPRODUCT((A$3:A305=A306)*(C$3:C305="Compra")*D$3:D305)))*D306,0),"")</f>
        <v/>
      </c>
      <c r="H306" s="12" t="str">
        <f aca="false">IF(C306="Venda",E306*D306,"")</f>
        <v/>
      </c>
    </row>
    <row r="307" customFormat="false" ht="15" hidden="false" customHeight="false" outlineLevel="0" collapsed="false">
      <c r="A307" s="14" t="str">
        <f aca="false">IF(Transações!C307&lt;&gt;"",Transações!C307,"")</f>
        <v/>
      </c>
      <c r="B307" s="14" t="str">
        <f aca="false">IF(Transações!A307&lt;&gt;"",Transações!A307,"")</f>
        <v/>
      </c>
      <c r="C307" s="14" t="str">
        <f aca="false">IF(Transações!B307&lt;&gt;"",Transações!B307,"")</f>
        <v/>
      </c>
      <c r="D307" s="15" t="str">
        <f aca="false">IF(Transações!D307&lt;&gt;"",Transações!D307,"")</f>
        <v/>
      </c>
      <c r="E307" s="16" t="str">
        <f aca="false">IF(Transações!E307&lt;&gt;"",Transações!E307,"")</f>
        <v/>
      </c>
      <c r="F307" s="7" t="str">
        <f aca="false">IF(C307="Compra",D307*E307,IF(C307="Staking",D307*E307,""))</f>
        <v/>
      </c>
      <c r="G307" s="7" t="str">
        <f aca="false">IF(C307="Venda",IF(COUNTIF(A$3:A306,A307)&gt;0,(E307-SUMPRODUCT((A$3:A306=A307)*(C$3:C306="Compra")*F$3:F306)/IF(SUMPRODUCT((A$3:A306=A307)*(C$3:C306="Compra")*D$3:D306)=0,1,SUMPRODUCT((A$3:A306=A307)*(C$3:C306="Compra")*D$3:D306)))*D307,0),"")</f>
        <v/>
      </c>
      <c r="H307" s="7" t="str">
        <f aca="false">IF(C307="Venda",E307*D307,"")</f>
        <v/>
      </c>
    </row>
    <row r="308" customFormat="false" ht="15" hidden="false" customHeight="false" outlineLevel="0" collapsed="false">
      <c r="A308" s="17" t="str">
        <f aca="false">IF(Transações!C308&lt;&gt;"",Transações!C308,"")</f>
        <v/>
      </c>
      <c r="B308" s="17" t="str">
        <f aca="false">IF(Transações!A308&lt;&gt;"",Transações!A308,"")</f>
        <v/>
      </c>
      <c r="C308" s="17" t="str">
        <f aca="false">IF(Transações!B308&lt;&gt;"",Transações!B308,"")</f>
        <v/>
      </c>
      <c r="D308" s="18" t="str">
        <f aca="false">IF(Transações!D308&lt;&gt;"",Transações!D308,"")</f>
        <v/>
      </c>
      <c r="E308" s="19" t="str">
        <f aca="false">IF(Transações!E308&lt;&gt;"",Transações!E308,"")</f>
        <v/>
      </c>
      <c r="F308" s="12" t="str">
        <f aca="false">IF(C308="Compra",D308*E308,IF(C308="Staking",D308*E308,""))</f>
        <v/>
      </c>
      <c r="G308" s="12" t="str">
        <f aca="false">IF(C308="Venda",IF(COUNTIF(A$3:A307,A308)&gt;0,(E308-SUMPRODUCT((A$3:A307=A308)*(C$3:C307="Compra")*F$3:F307)/IF(SUMPRODUCT((A$3:A307=A308)*(C$3:C307="Compra")*D$3:D307)=0,1,SUMPRODUCT((A$3:A307=A308)*(C$3:C307="Compra")*D$3:D307)))*D308,0),"")</f>
        <v/>
      </c>
      <c r="H308" s="12" t="str">
        <f aca="false">IF(C308="Venda",E308*D308,"")</f>
        <v/>
      </c>
    </row>
    <row r="309" customFormat="false" ht="15" hidden="false" customHeight="false" outlineLevel="0" collapsed="false">
      <c r="A309" s="14" t="str">
        <f aca="false">IF(Transações!C309&lt;&gt;"",Transações!C309,"")</f>
        <v/>
      </c>
      <c r="B309" s="14" t="str">
        <f aca="false">IF(Transações!A309&lt;&gt;"",Transações!A309,"")</f>
        <v/>
      </c>
      <c r="C309" s="14" t="str">
        <f aca="false">IF(Transações!B309&lt;&gt;"",Transações!B309,"")</f>
        <v/>
      </c>
      <c r="D309" s="15" t="str">
        <f aca="false">IF(Transações!D309&lt;&gt;"",Transações!D309,"")</f>
        <v/>
      </c>
      <c r="E309" s="16" t="str">
        <f aca="false">IF(Transações!E309&lt;&gt;"",Transações!E309,"")</f>
        <v/>
      </c>
      <c r="F309" s="7" t="str">
        <f aca="false">IF(C309="Compra",D309*E309,IF(C309="Staking",D309*E309,""))</f>
        <v/>
      </c>
      <c r="G309" s="7" t="str">
        <f aca="false">IF(C309="Venda",IF(COUNTIF(A$3:A308,A309)&gt;0,(E309-SUMPRODUCT((A$3:A308=A309)*(C$3:C308="Compra")*F$3:F308)/IF(SUMPRODUCT((A$3:A308=A309)*(C$3:C308="Compra")*D$3:D308)=0,1,SUMPRODUCT((A$3:A308=A309)*(C$3:C308="Compra")*D$3:D308)))*D309,0),"")</f>
        <v/>
      </c>
      <c r="H309" s="7" t="str">
        <f aca="false">IF(C309="Venda",E309*D309,"")</f>
        <v/>
      </c>
    </row>
    <row r="310" customFormat="false" ht="15" hidden="false" customHeight="false" outlineLevel="0" collapsed="false">
      <c r="A310" s="17" t="str">
        <f aca="false">IF(Transações!C310&lt;&gt;"",Transações!C310,"")</f>
        <v/>
      </c>
      <c r="B310" s="17" t="str">
        <f aca="false">IF(Transações!A310&lt;&gt;"",Transações!A310,"")</f>
        <v/>
      </c>
      <c r="C310" s="17" t="str">
        <f aca="false">IF(Transações!B310&lt;&gt;"",Transações!B310,"")</f>
        <v/>
      </c>
      <c r="D310" s="18" t="str">
        <f aca="false">IF(Transações!D310&lt;&gt;"",Transações!D310,"")</f>
        <v/>
      </c>
      <c r="E310" s="19" t="str">
        <f aca="false">IF(Transações!E310&lt;&gt;"",Transações!E310,"")</f>
        <v/>
      </c>
      <c r="F310" s="12" t="str">
        <f aca="false">IF(C310="Compra",D310*E310,IF(C310="Staking",D310*E310,""))</f>
        <v/>
      </c>
      <c r="G310" s="12" t="str">
        <f aca="false">IF(C310="Venda",IF(COUNTIF(A$3:A309,A310)&gt;0,(E310-SUMPRODUCT((A$3:A309=A310)*(C$3:C309="Compra")*F$3:F309)/IF(SUMPRODUCT((A$3:A309=A310)*(C$3:C309="Compra")*D$3:D309)=0,1,SUMPRODUCT((A$3:A309=A310)*(C$3:C309="Compra")*D$3:D309)))*D310,0),"")</f>
        <v/>
      </c>
      <c r="H310" s="12" t="str">
        <f aca="false">IF(C310="Venda",E310*D310,"")</f>
        <v/>
      </c>
    </row>
    <row r="311" customFormat="false" ht="15" hidden="false" customHeight="false" outlineLevel="0" collapsed="false">
      <c r="A311" s="14" t="str">
        <f aca="false">IF(Transações!C311&lt;&gt;"",Transações!C311,"")</f>
        <v/>
      </c>
      <c r="B311" s="14" t="str">
        <f aca="false">IF(Transações!A311&lt;&gt;"",Transações!A311,"")</f>
        <v/>
      </c>
      <c r="C311" s="14" t="str">
        <f aca="false">IF(Transações!B311&lt;&gt;"",Transações!B311,"")</f>
        <v/>
      </c>
      <c r="D311" s="15" t="str">
        <f aca="false">IF(Transações!D311&lt;&gt;"",Transações!D311,"")</f>
        <v/>
      </c>
      <c r="E311" s="16" t="str">
        <f aca="false">IF(Transações!E311&lt;&gt;"",Transações!E311,"")</f>
        <v/>
      </c>
      <c r="F311" s="7" t="str">
        <f aca="false">IF(C311="Compra",D311*E311,IF(C311="Staking",D311*E311,""))</f>
        <v/>
      </c>
      <c r="G311" s="7" t="str">
        <f aca="false">IF(C311="Venda",IF(COUNTIF(A$3:A310,A311)&gt;0,(E311-SUMPRODUCT((A$3:A310=A311)*(C$3:C310="Compra")*F$3:F310)/IF(SUMPRODUCT((A$3:A310=A311)*(C$3:C310="Compra")*D$3:D310)=0,1,SUMPRODUCT((A$3:A310=A311)*(C$3:C310="Compra")*D$3:D310)))*D311,0),"")</f>
        <v/>
      </c>
      <c r="H311" s="7" t="str">
        <f aca="false">IF(C311="Venda",E311*D311,"")</f>
        <v/>
      </c>
    </row>
    <row r="312" customFormat="false" ht="15" hidden="false" customHeight="false" outlineLevel="0" collapsed="false">
      <c r="A312" s="17" t="str">
        <f aca="false">IF(Transações!C312&lt;&gt;"",Transações!C312,"")</f>
        <v/>
      </c>
      <c r="B312" s="17" t="str">
        <f aca="false">IF(Transações!A312&lt;&gt;"",Transações!A312,"")</f>
        <v/>
      </c>
      <c r="C312" s="17" t="str">
        <f aca="false">IF(Transações!B312&lt;&gt;"",Transações!B312,"")</f>
        <v/>
      </c>
      <c r="D312" s="18" t="str">
        <f aca="false">IF(Transações!D312&lt;&gt;"",Transações!D312,"")</f>
        <v/>
      </c>
      <c r="E312" s="19" t="str">
        <f aca="false">IF(Transações!E312&lt;&gt;"",Transações!E312,"")</f>
        <v/>
      </c>
      <c r="F312" s="12" t="str">
        <f aca="false">IF(C312="Compra",D312*E312,IF(C312="Staking",D312*E312,""))</f>
        <v/>
      </c>
      <c r="G312" s="12" t="str">
        <f aca="false">IF(C312="Venda",IF(COUNTIF(A$3:A311,A312)&gt;0,(E312-SUMPRODUCT((A$3:A311=A312)*(C$3:C311="Compra")*F$3:F311)/IF(SUMPRODUCT((A$3:A311=A312)*(C$3:C311="Compra")*D$3:D311)=0,1,SUMPRODUCT((A$3:A311=A312)*(C$3:C311="Compra")*D$3:D311)))*D312,0),"")</f>
        <v/>
      </c>
      <c r="H312" s="12" t="str">
        <f aca="false">IF(C312="Venda",E312*D312,"")</f>
        <v/>
      </c>
    </row>
    <row r="313" customFormat="false" ht="15" hidden="false" customHeight="false" outlineLevel="0" collapsed="false">
      <c r="A313" s="14" t="str">
        <f aca="false">IF(Transações!C313&lt;&gt;"",Transações!C313,"")</f>
        <v/>
      </c>
      <c r="B313" s="14" t="str">
        <f aca="false">IF(Transações!A313&lt;&gt;"",Transações!A313,"")</f>
        <v/>
      </c>
      <c r="C313" s="14" t="str">
        <f aca="false">IF(Transações!B313&lt;&gt;"",Transações!B313,"")</f>
        <v/>
      </c>
      <c r="D313" s="15" t="str">
        <f aca="false">IF(Transações!D313&lt;&gt;"",Transações!D313,"")</f>
        <v/>
      </c>
      <c r="E313" s="16" t="str">
        <f aca="false">IF(Transações!E313&lt;&gt;"",Transações!E313,"")</f>
        <v/>
      </c>
      <c r="F313" s="7" t="str">
        <f aca="false">IF(C313="Compra",D313*E313,IF(C313="Staking",D313*E313,""))</f>
        <v/>
      </c>
      <c r="G313" s="7" t="str">
        <f aca="false">IF(C313="Venda",IF(COUNTIF(A$3:A312,A313)&gt;0,(E313-SUMPRODUCT((A$3:A312=A313)*(C$3:C312="Compra")*F$3:F312)/IF(SUMPRODUCT((A$3:A312=A313)*(C$3:C312="Compra")*D$3:D312)=0,1,SUMPRODUCT((A$3:A312=A313)*(C$3:C312="Compra")*D$3:D312)))*D313,0),"")</f>
        <v/>
      </c>
      <c r="H313" s="7" t="str">
        <f aca="false">IF(C313="Venda",E313*D313,"")</f>
        <v/>
      </c>
    </row>
    <row r="314" customFormat="false" ht="15" hidden="false" customHeight="false" outlineLevel="0" collapsed="false">
      <c r="A314" s="17" t="str">
        <f aca="false">IF(Transações!C314&lt;&gt;"",Transações!C314,"")</f>
        <v/>
      </c>
      <c r="B314" s="17" t="str">
        <f aca="false">IF(Transações!A314&lt;&gt;"",Transações!A314,"")</f>
        <v/>
      </c>
      <c r="C314" s="17" t="str">
        <f aca="false">IF(Transações!B314&lt;&gt;"",Transações!B314,"")</f>
        <v/>
      </c>
      <c r="D314" s="18" t="str">
        <f aca="false">IF(Transações!D314&lt;&gt;"",Transações!D314,"")</f>
        <v/>
      </c>
      <c r="E314" s="19" t="str">
        <f aca="false">IF(Transações!E314&lt;&gt;"",Transações!E314,"")</f>
        <v/>
      </c>
      <c r="F314" s="12" t="str">
        <f aca="false">IF(C314="Compra",D314*E314,IF(C314="Staking",D314*E314,""))</f>
        <v/>
      </c>
      <c r="G314" s="12" t="str">
        <f aca="false">IF(C314="Venda",IF(COUNTIF(A$3:A313,A314)&gt;0,(E314-SUMPRODUCT((A$3:A313=A314)*(C$3:C313="Compra")*F$3:F313)/IF(SUMPRODUCT((A$3:A313=A314)*(C$3:C313="Compra")*D$3:D313)=0,1,SUMPRODUCT((A$3:A313=A314)*(C$3:C313="Compra")*D$3:D313)))*D314,0),"")</f>
        <v/>
      </c>
      <c r="H314" s="12" t="str">
        <f aca="false">IF(C314="Venda",E314*D314,"")</f>
        <v/>
      </c>
    </row>
    <row r="315" customFormat="false" ht="15" hidden="false" customHeight="false" outlineLevel="0" collapsed="false">
      <c r="A315" s="14" t="str">
        <f aca="false">IF(Transações!C315&lt;&gt;"",Transações!C315,"")</f>
        <v/>
      </c>
      <c r="B315" s="14" t="str">
        <f aca="false">IF(Transações!A315&lt;&gt;"",Transações!A315,"")</f>
        <v/>
      </c>
      <c r="C315" s="14" t="str">
        <f aca="false">IF(Transações!B315&lt;&gt;"",Transações!B315,"")</f>
        <v/>
      </c>
      <c r="D315" s="15" t="str">
        <f aca="false">IF(Transações!D315&lt;&gt;"",Transações!D315,"")</f>
        <v/>
      </c>
      <c r="E315" s="16" t="str">
        <f aca="false">IF(Transações!E315&lt;&gt;"",Transações!E315,"")</f>
        <v/>
      </c>
      <c r="F315" s="7" t="str">
        <f aca="false">IF(C315="Compra",D315*E315,IF(C315="Staking",D315*E315,""))</f>
        <v/>
      </c>
      <c r="G315" s="7" t="str">
        <f aca="false">IF(C315="Venda",IF(COUNTIF(A$3:A314,A315)&gt;0,(E315-SUMPRODUCT((A$3:A314=A315)*(C$3:C314="Compra")*F$3:F314)/IF(SUMPRODUCT((A$3:A314=A315)*(C$3:C314="Compra")*D$3:D314)=0,1,SUMPRODUCT((A$3:A314=A315)*(C$3:C314="Compra")*D$3:D314)))*D315,0),"")</f>
        <v/>
      </c>
      <c r="H315" s="7" t="str">
        <f aca="false">IF(C315="Venda",E315*D315,"")</f>
        <v/>
      </c>
    </row>
    <row r="316" customFormat="false" ht="15" hidden="false" customHeight="false" outlineLevel="0" collapsed="false">
      <c r="A316" s="17" t="str">
        <f aca="false">IF(Transações!C316&lt;&gt;"",Transações!C316,"")</f>
        <v/>
      </c>
      <c r="B316" s="17" t="str">
        <f aca="false">IF(Transações!A316&lt;&gt;"",Transações!A316,"")</f>
        <v/>
      </c>
      <c r="C316" s="17" t="str">
        <f aca="false">IF(Transações!B316&lt;&gt;"",Transações!B316,"")</f>
        <v/>
      </c>
      <c r="D316" s="18" t="str">
        <f aca="false">IF(Transações!D316&lt;&gt;"",Transações!D316,"")</f>
        <v/>
      </c>
      <c r="E316" s="19" t="str">
        <f aca="false">IF(Transações!E316&lt;&gt;"",Transações!E316,"")</f>
        <v/>
      </c>
      <c r="F316" s="12" t="str">
        <f aca="false">IF(C316="Compra",D316*E316,IF(C316="Staking",D316*E316,""))</f>
        <v/>
      </c>
      <c r="G316" s="12" t="str">
        <f aca="false">IF(C316="Venda",IF(COUNTIF(A$3:A315,A316)&gt;0,(E316-SUMPRODUCT((A$3:A315=A316)*(C$3:C315="Compra")*F$3:F315)/IF(SUMPRODUCT((A$3:A315=A316)*(C$3:C315="Compra")*D$3:D315)=0,1,SUMPRODUCT((A$3:A315=A316)*(C$3:C315="Compra")*D$3:D315)))*D316,0),"")</f>
        <v/>
      </c>
      <c r="H316" s="12" t="str">
        <f aca="false">IF(C316="Venda",E316*D316,"")</f>
        <v/>
      </c>
    </row>
    <row r="317" customFormat="false" ht="15" hidden="false" customHeight="false" outlineLevel="0" collapsed="false">
      <c r="A317" s="14" t="str">
        <f aca="false">IF(Transações!C317&lt;&gt;"",Transações!C317,"")</f>
        <v/>
      </c>
      <c r="B317" s="14" t="str">
        <f aca="false">IF(Transações!A317&lt;&gt;"",Transações!A317,"")</f>
        <v/>
      </c>
      <c r="C317" s="14" t="str">
        <f aca="false">IF(Transações!B317&lt;&gt;"",Transações!B317,"")</f>
        <v/>
      </c>
      <c r="D317" s="15" t="str">
        <f aca="false">IF(Transações!D317&lt;&gt;"",Transações!D317,"")</f>
        <v/>
      </c>
      <c r="E317" s="16" t="str">
        <f aca="false">IF(Transações!E317&lt;&gt;"",Transações!E317,"")</f>
        <v/>
      </c>
      <c r="F317" s="7" t="str">
        <f aca="false">IF(C317="Compra",D317*E317,IF(C317="Staking",D317*E317,""))</f>
        <v/>
      </c>
      <c r="G317" s="7" t="str">
        <f aca="false">IF(C317="Venda",IF(COUNTIF(A$3:A316,A317)&gt;0,(E317-SUMPRODUCT((A$3:A316=A317)*(C$3:C316="Compra")*F$3:F316)/IF(SUMPRODUCT((A$3:A316=A317)*(C$3:C316="Compra")*D$3:D316)=0,1,SUMPRODUCT((A$3:A316=A317)*(C$3:C316="Compra")*D$3:D316)))*D317,0),"")</f>
        <v/>
      </c>
      <c r="H317" s="7" t="str">
        <f aca="false">IF(C317="Venda",E317*D317,"")</f>
        <v/>
      </c>
    </row>
    <row r="318" customFormat="false" ht="15" hidden="false" customHeight="false" outlineLevel="0" collapsed="false">
      <c r="A318" s="17" t="str">
        <f aca="false">IF(Transações!C318&lt;&gt;"",Transações!C318,"")</f>
        <v/>
      </c>
      <c r="B318" s="17" t="str">
        <f aca="false">IF(Transações!A318&lt;&gt;"",Transações!A318,"")</f>
        <v/>
      </c>
      <c r="C318" s="17" t="str">
        <f aca="false">IF(Transações!B318&lt;&gt;"",Transações!B318,"")</f>
        <v/>
      </c>
      <c r="D318" s="18" t="str">
        <f aca="false">IF(Transações!D318&lt;&gt;"",Transações!D318,"")</f>
        <v/>
      </c>
      <c r="E318" s="19" t="str">
        <f aca="false">IF(Transações!E318&lt;&gt;"",Transações!E318,"")</f>
        <v/>
      </c>
      <c r="F318" s="12" t="str">
        <f aca="false">IF(C318="Compra",D318*E318,IF(C318="Staking",D318*E318,""))</f>
        <v/>
      </c>
      <c r="G318" s="12" t="str">
        <f aca="false">IF(C318="Venda",IF(COUNTIF(A$3:A317,A318)&gt;0,(E318-SUMPRODUCT((A$3:A317=A318)*(C$3:C317="Compra")*F$3:F317)/IF(SUMPRODUCT((A$3:A317=A318)*(C$3:C317="Compra")*D$3:D317)=0,1,SUMPRODUCT((A$3:A317=A318)*(C$3:C317="Compra")*D$3:D317)))*D318,0),"")</f>
        <v/>
      </c>
      <c r="H318" s="12" t="str">
        <f aca="false">IF(C318="Venda",E318*D318,"")</f>
        <v/>
      </c>
    </row>
    <row r="319" customFormat="false" ht="15" hidden="false" customHeight="false" outlineLevel="0" collapsed="false">
      <c r="A319" s="14" t="str">
        <f aca="false">IF(Transações!C319&lt;&gt;"",Transações!C319,"")</f>
        <v/>
      </c>
      <c r="B319" s="14" t="str">
        <f aca="false">IF(Transações!A319&lt;&gt;"",Transações!A319,"")</f>
        <v/>
      </c>
      <c r="C319" s="14" t="str">
        <f aca="false">IF(Transações!B319&lt;&gt;"",Transações!B319,"")</f>
        <v/>
      </c>
      <c r="D319" s="15" t="str">
        <f aca="false">IF(Transações!D319&lt;&gt;"",Transações!D319,"")</f>
        <v/>
      </c>
      <c r="E319" s="16" t="str">
        <f aca="false">IF(Transações!E319&lt;&gt;"",Transações!E319,"")</f>
        <v/>
      </c>
      <c r="F319" s="7" t="str">
        <f aca="false">IF(C319="Compra",D319*E319,IF(C319="Staking",D319*E319,""))</f>
        <v/>
      </c>
      <c r="G319" s="7" t="str">
        <f aca="false">IF(C319="Venda",IF(COUNTIF(A$3:A318,A319)&gt;0,(E319-SUMPRODUCT((A$3:A318=A319)*(C$3:C318="Compra")*F$3:F318)/IF(SUMPRODUCT((A$3:A318=A319)*(C$3:C318="Compra")*D$3:D318)=0,1,SUMPRODUCT((A$3:A318=A319)*(C$3:C318="Compra")*D$3:D318)))*D319,0),"")</f>
        <v/>
      </c>
      <c r="H319" s="7" t="str">
        <f aca="false">IF(C319="Venda",E319*D319,"")</f>
        <v/>
      </c>
    </row>
    <row r="320" customFormat="false" ht="15" hidden="false" customHeight="false" outlineLevel="0" collapsed="false">
      <c r="A320" s="17" t="str">
        <f aca="false">IF(Transações!C320&lt;&gt;"",Transações!C320,"")</f>
        <v/>
      </c>
      <c r="B320" s="17" t="str">
        <f aca="false">IF(Transações!A320&lt;&gt;"",Transações!A320,"")</f>
        <v/>
      </c>
      <c r="C320" s="17" t="str">
        <f aca="false">IF(Transações!B320&lt;&gt;"",Transações!B320,"")</f>
        <v/>
      </c>
      <c r="D320" s="18" t="str">
        <f aca="false">IF(Transações!D320&lt;&gt;"",Transações!D320,"")</f>
        <v/>
      </c>
      <c r="E320" s="19" t="str">
        <f aca="false">IF(Transações!E320&lt;&gt;"",Transações!E320,"")</f>
        <v/>
      </c>
      <c r="F320" s="12" t="str">
        <f aca="false">IF(C320="Compra",D320*E320,IF(C320="Staking",D320*E320,""))</f>
        <v/>
      </c>
      <c r="G320" s="12" t="str">
        <f aca="false">IF(C320="Venda",IF(COUNTIF(A$3:A319,A320)&gt;0,(E320-SUMPRODUCT((A$3:A319=A320)*(C$3:C319="Compra")*F$3:F319)/IF(SUMPRODUCT((A$3:A319=A320)*(C$3:C319="Compra")*D$3:D319)=0,1,SUMPRODUCT((A$3:A319=A320)*(C$3:C319="Compra")*D$3:D319)))*D320,0),"")</f>
        <v/>
      </c>
      <c r="H320" s="12" t="str">
        <f aca="false">IF(C320="Venda",E320*D320,"")</f>
        <v/>
      </c>
    </row>
    <row r="321" customFormat="false" ht="15" hidden="false" customHeight="false" outlineLevel="0" collapsed="false">
      <c r="A321" s="14" t="str">
        <f aca="false">IF(Transações!C321&lt;&gt;"",Transações!C321,"")</f>
        <v/>
      </c>
      <c r="B321" s="14" t="str">
        <f aca="false">IF(Transações!A321&lt;&gt;"",Transações!A321,"")</f>
        <v/>
      </c>
      <c r="C321" s="14" t="str">
        <f aca="false">IF(Transações!B321&lt;&gt;"",Transações!B321,"")</f>
        <v/>
      </c>
      <c r="D321" s="15" t="str">
        <f aca="false">IF(Transações!D321&lt;&gt;"",Transações!D321,"")</f>
        <v/>
      </c>
      <c r="E321" s="16" t="str">
        <f aca="false">IF(Transações!E321&lt;&gt;"",Transações!E321,"")</f>
        <v/>
      </c>
      <c r="F321" s="7" t="str">
        <f aca="false">IF(C321="Compra",D321*E321,IF(C321="Staking",D321*E321,""))</f>
        <v/>
      </c>
      <c r="G321" s="7" t="str">
        <f aca="false">IF(C321="Venda",IF(COUNTIF(A$3:A320,A321)&gt;0,(E321-SUMPRODUCT((A$3:A320=A321)*(C$3:C320="Compra")*F$3:F320)/IF(SUMPRODUCT((A$3:A320=A321)*(C$3:C320="Compra")*D$3:D320)=0,1,SUMPRODUCT((A$3:A320=A321)*(C$3:C320="Compra")*D$3:D320)))*D321,0),"")</f>
        <v/>
      </c>
      <c r="H321" s="7" t="str">
        <f aca="false">IF(C321="Venda",E321*D321,"")</f>
        <v/>
      </c>
    </row>
    <row r="322" customFormat="false" ht="15" hidden="false" customHeight="false" outlineLevel="0" collapsed="false">
      <c r="A322" s="17" t="str">
        <f aca="false">IF(Transações!C322&lt;&gt;"",Transações!C322,"")</f>
        <v/>
      </c>
      <c r="B322" s="17" t="str">
        <f aca="false">IF(Transações!A322&lt;&gt;"",Transações!A322,"")</f>
        <v/>
      </c>
      <c r="C322" s="17" t="str">
        <f aca="false">IF(Transações!B322&lt;&gt;"",Transações!B322,"")</f>
        <v/>
      </c>
      <c r="D322" s="18" t="str">
        <f aca="false">IF(Transações!D322&lt;&gt;"",Transações!D322,"")</f>
        <v/>
      </c>
      <c r="E322" s="19" t="str">
        <f aca="false">IF(Transações!E322&lt;&gt;"",Transações!E322,"")</f>
        <v/>
      </c>
      <c r="F322" s="12" t="str">
        <f aca="false">IF(C322="Compra",D322*E322,IF(C322="Staking",D322*E322,""))</f>
        <v/>
      </c>
      <c r="G322" s="12" t="str">
        <f aca="false">IF(C322="Venda",IF(COUNTIF(A$3:A321,A322)&gt;0,(E322-SUMPRODUCT((A$3:A321=A322)*(C$3:C321="Compra")*F$3:F321)/IF(SUMPRODUCT((A$3:A321=A322)*(C$3:C321="Compra")*D$3:D321)=0,1,SUMPRODUCT((A$3:A321=A322)*(C$3:C321="Compra")*D$3:D321)))*D322,0),"")</f>
        <v/>
      </c>
      <c r="H322" s="12" t="str">
        <f aca="false">IF(C322="Venda",E322*D322,"")</f>
        <v/>
      </c>
    </row>
    <row r="323" customFormat="false" ht="15" hidden="false" customHeight="false" outlineLevel="0" collapsed="false">
      <c r="A323" s="14" t="str">
        <f aca="false">IF(Transações!C323&lt;&gt;"",Transações!C323,"")</f>
        <v/>
      </c>
      <c r="B323" s="14" t="str">
        <f aca="false">IF(Transações!A323&lt;&gt;"",Transações!A323,"")</f>
        <v/>
      </c>
      <c r="C323" s="14" t="str">
        <f aca="false">IF(Transações!B323&lt;&gt;"",Transações!B323,"")</f>
        <v/>
      </c>
      <c r="D323" s="15" t="str">
        <f aca="false">IF(Transações!D323&lt;&gt;"",Transações!D323,"")</f>
        <v/>
      </c>
      <c r="E323" s="16" t="str">
        <f aca="false">IF(Transações!E323&lt;&gt;"",Transações!E323,"")</f>
        <v/>
      </c>
      <c r="F323" s="7" t="str">
        <f aca="false">IF(C323="Compra",D323*E323,IF(C323="Staking",D323*E323,""))</f>
        <v/>
      </c>
      <c r="G323" s="7" t="str">
        <f aca="false">IF(C323="Venda",IF(COUNTIF(A$3:A322,A323)&gt;0,(E323-SUMPRODUCT((A$3:A322=A323)*(C$3:C322="Compra")*F$3:F322)/IF(SUMPRODUCT((A$3:A322=A323)*(C$3:C322="Compra")*D$3:D322)=0,1,SUMPRODUCT((A$3:A322=A323)*(C$3:C322="Compra")*D$3:D322)))*D323,0),"")</f>
        <v/>
      </c>
      <c r="H323" s="7" t="str">
        <f aca="false">IF(C323="Venda",E323*D323,"")</f>
        <v/>
      </c>
    </row>
    <row r="324" customFormat="false" ht="15" hidden="false" customHeight="false" outlineLevel="0" collapsed="false">
      <c r="A324" s="17" t="str">
        <f aca="false">IF(Transações!C324&lt;&gt;"",Transações!C324,"")</f>
        <v/>
      </c>
      <c r="B324" s="17" t="str">
        <f aca="false">IF(Transações!A324&lt;&gt;"",Transações!A324,"")</f>
        <v/>
      </c>
      <c r="C324" s="17" t="str">
        <f aca="false">IF(Transações!B324&lt;&gt;"",Transações!B324,"")</f>
        <v/>
      </c>
      <c r="D324" s="18" t="str">
        <f aca="false">IF(Transações!D324&lt;&gt;"",Transações!D324,"")</f>
        <v/>
      </c>
      <c r="E324" s="19" t="str">
        <f aca="false">IF(Transações!E324&lt;&gt;"",Transações!E324,"")</f>
        <v/>
      </c>
      <c r="F324" s="12" t="str">
        <f aca="false">IF(C324="Compra",D324*E324,IF(C324="Staking",D324*E324,""))</f>
        <v/>
      </c>
      <c r="G324" s="12" t="str">
        <f aca="false">IF(C324="Venda",IF(COUNTIF(A$3:A323,A324)&gt;0,(E324-SUMPRODUCT((A$3:A323=A324)*(C$3:C323="Compra")*F$3:F323)/IF(SUMPRODUCT((A$3:A323=A324)*(C$3:C323="Compra")*D$3:D323)=0,1,SUMPRODUCT((A$3:A323=A324)*(C$3:C323="Compra")*D$3:D323)))*D324,0),"")</f>
        <v/>
      </c>
      <c r="H324" s="12" t="str">
        <f aca="false">IF(C324="Venda",E324*D324,"")</f>
        <v/>
      </c>
    </row>
    <row r="325" customFormat="false" ht="15" hidden="false" customHeight="false" outlineLevel="0" collapsed="false">
      <c r="A325" s="14" t="str">
        <f aca="false">IF(Transações!C325&lt;&gt;"",Transações!C325,"")</f>
        <v/>
      </c>
      <c r="B325" s="14" t="str">
        <f aca="false">IF(Transações!A325&lt;&gt;"",Transações!A325,"")</f>
        <v/>
      </c>
      <c r="C325" s="14" t="str">
        <f aca="false">IF(Transações!B325&lt;&gt;"",Transações!B325,"")</f>
        <v/>
      </c>
      <c r="D325" s="15" t="str">
        <f aca="false">IF(Transações!D325&lt;&gt;"",Transações!D325,"")</f>
        <v/>
      </c>
      <c r="E325" s="16" t="str">
        <f aca="false">IF(Transações!E325&lt;&gt;"",Transações!E325,"")</f>
        <v/>
      </c>
      <c r="F325" s="7" t="str">
        <f aca="false">IF(C325="Compra",D325*E325,IF(C325="Staking",D325*E325,""))</f>
        <v/>
      </c>
      <c r="G325" s="7" t="str">
        <f aca="false">IF(C325="Venda",IF(COUNTIF(A$3:A324,A325)&gt;0,(E325-SUMPRODUCT((A$3:A324=A325)*(C$3:C324="Compra")*F$3:F324)/IF(SUMPRODUCT((A$3:A324=A325)*(C$3:C324="Compra")*D$3:D324)=0,1,SUMPRODUCT((A$3:A324=A325)*(C$3:C324="Compra")*D$3:D324)))*D325,0),"")</f>
        <v/>
      </c>
      <c r="H325" s="7" t="str">
        <f aca="false">IF(C325="Venda",E325*D325,"")</f>
        <v/>
      </c>
    </row>
    <row r="326" customFormat="false" ht="15" hidden="false" customHeight="false" outlineLevel="0" collapsed="false">
      <c r="A326" s="17" t="str">
        <f aca="false">IF(Transações!C326&lt;&gt;"",Transações!C326,"")</f>
        <v/>
      </c>
      <c r="B326" s="17" t="str">
        <f aca="false">IF(Transações!A326&lt;&gt;"",Transações!A326,"")</f>
        <v/>
      </c>
      <c r="C326" s="17" t="str">
        <f aca="false">IF(Transações!B326&lt;&gt;"",Transações!B326,"")</f>
        <v/>
      </c>
      <c r="D326" s="18" t="str">
        <f aca="false">IF(Transações!D326&lt;&gt;"",Transações!D326,"")</f>
        <v/>
      </c>
      <c r="E326" s="19" t="str">
        <f aca="false">IF(Transações!E326&lt;&gt;"",Transações!E326,"")</f>
        <v/>
      </c>
      <c r="F326" s="12" t="str">
        <f aca="false">IF(C326="Compra",D326*E326,IF(C326="Staking",D326*E326,""))</f>
        <v/>
      </c>
      <c r="G326" s="12" t="str">
        <f aca="false">IF(C326="Venda",IF(COUNTIF(A$3:A325,A326)&gt;0,(E326-SUMPRODUCT((A$3:A325=A326)*(C$3:C325="Compra")*F$3:F325)/IF(SUMPRODUCT((A$3:A325=A326)*(C$3:C325="Compra")*D$3:D325)=0,1,SUMPRODUCT((A$3:A325=A326)*(C$3:C325="Compra")*D$3:D325)))*D326,0),"")</f>
        <v/>
      </c>
      <c r="H326" s="12" t="str">
        <f aca="false">IF(C326="Venda",E326*D326,"")</f>
        <v/>
      </c>
    </row>
    <row r="327" customFormat="false" ht="15" hidden="false" customHeight="false" outlineLevel="0" collapsed="false">
      <c r="A327" s="14" t="str">
        <f aca="false">IF(Transações!C327&lt;&gt;"",Transações!C327,"")</f>
        <v/>
      </c>
      <c r="B327" s="14" t="str">
        <f aca="false">IF(Transações!A327&lt;&gt;"",Transações!A327,"")</f>
        <v/>
      </c>
      <c r="C327" s="14" t="str">
        <f aca="false">IF(Transações!B327&lt;&gt;"",Transações!B327,"")</f>
        <v/>
      </c>
      <c r="D327" s="15" t="str">
        <f aca="false">IF(Transações!D327&lt;&gt;"",Transações!D327,"")</f>
        <v/>
      </c>
      <c r="E327" s="16" t="str">
        <f aca="false">IF(Transações!E327&lt;&gt;"",Transações!E327,"")</f>
        <v/>
      </c>
      <c r="F327" s="7" t="str">
        <f aca="false">IF(C327="Compra",D327*E327,IF(C327="Staking",D327*E327,""))</f>
        <v/>
      </c>
      <c r="G327" s="7" t="str">
        <f aca="false">IF(C327="Venda",IF(COUNTIF(A$3:A326,A327)&gt;0,(E327-SUMPRODUCT((A$3:A326=A327)*(C$3:C326="Compra")*F$3:F326)/IF(SUMPRODUCT((A$3:A326=A327)*(C$3:C326="Compra")*D$3:D326)=0,1,SUMPRODUCT((A$3:A326=A327)*(C$3:C326="Compra")*D$3:D326)))*D327,0),"")</f>
        <v/>
      </c>
      <c r="H327" s="7" t="str">
        <f aca="false">IF(C327="Venda",E327*D327,"")</f>
        <v/>
      </c>
    </row>
    <row r="328" customFormat="false" ht="15" hidden="false" customHeight="false" outlineLevel="0" collapsed="false">
      <c r="A328" s="17" t="str">
        <f aca="false">IF(Transações!C328&lt;&gt;"",Transações!C328,"")</f>
        <v/>
      </c>
      <c r="B328" s="17" t="str">
        <f aca="false">IF(Transações!A328&lt;&gt;"",Transações!A328,"")</f>
        <v/>
      </c>
      <c r="C328" s="17" t="str">
        <f aca="false">IF(Transações!B328&lt;&gt;"",Transações!B328,"")</f>
        <v/>
      </c>
      <c r="D328" s="18" t="str">
        <f aca="false">IF(Transações!D328&lt;&gt;"",Transações!D328,"")</f>
        <v/>
      </c>
      <c r="E328" s="19" t="str">
        <f aca="false">IF(Transações!E328&lt;&gt;"",Transações!E328,"")</f>
        <v/>
      </c>
      <c r="F328" s="12" t="str">
        <f aca="false">IF(C328="Compra",D328*E328,IF(C328="Staking",D328*E328,""))</f>
        <v/>
      </c>
      <c r="G328" s="12" t="str">
        <f aca="false">IF(C328="Venda",IF(COUNTIF(A$3:A327,A328)&gt;0,(E328-SUMPRODUCT((A$3:A327=A328)*(C$3:C327="Compra")*F$3:F327)/IF(SUMPRODUCT((A$3:A327=A328)*(C$3:C327="Compra")*D$3:D327)=0,1,SUMPRODUCT((A$3:A327=A328)*(C$3:C327="Compra")*D$3:D327)))*D328,0),"")</f>
        <v/>
      </c>
      <c r="H328" s="12" t="str">
        <f aca="false">IF(C328="Venda",E328*D328,"")</f>
        <v/>
      </c>
    </row>
    <row r="329" customFormat="false" ht="15" hidden="false" customHeight="false" outlineLevel="0" collapsed="false">
      <c r="A329" s="14" t="str">
        <f aca="false">IF(Transações!C329&lt;&gt;"",Transações!C329,"")</f>
        <v/>
      </c>
      <c r="B329" s="14" t="str">
        <f aca="false">IF(Transações!A329&lt;&gt;"",Transações!A329,"")</f>
        <v/>
      </c>
      <c r="C329" s="14" t="str">
        <f aca="false">IF(Transações!B329&lt;&gt;"",Transações!B329,"")</f>
        <v/>
      </c>
      <c r="D329" s="15" t="str">
        <f aca="false">IF(Transações!D329&lt;&gt;"",Transações!D329,"")</f>
        <v/>
      </c>
      <c r="E329" s="16" t="str">
        <f aca="false">IF(Transações!E329&lt;&gt;"",Transações!E329,"")</f>
        <v/>
      </c>
      <c r="F329" s="7" t="str">
        <f aca="false">IF(C329="Compra",D329*E329,IF(C329="Staking",D329*E329,""))</f>
        <v/>
      </c>
      <c r="G329" s="7" t="str">
        <f aca="false">IF(C329="Venda",IF(COUNTIF(A$3:A328,A329)&gt;0,(E329-SUMPRODUCT((A$3:A328=A329)*(C$3:C328="Compra")*F$3:F328)/IF(SUMPRODUCT((A$3:A328=A329)*(C$3:C328="Compra")*D$3:D328)=0,1,SUMPRODUCT((A$3:A328=A329)*(C$3:C328="Compra")*D$3:D328)))*D329,0),"")</f>
        <v/>
      </c>
      <c r="H329" s="7" t="str">
        <f aca="false">IF(C329="Venda",E329*D329,"")</f>
        <v/>
      </c>
    </row>
    <row r="330" customFormat="false" ht="15" hidden="false" customHeight="false" outlineLevel="0" collapsed="false">
      <c r="A330" s="17" t="str">
        <f aca="false">IF(Transações!C330&lt;&gt;"",Transações!C330,"")</f>
        <v/>
      </c>
      <c r="B330" s="17" t="str">
        <f aca="false">IF(Transações!A330&lt;&gt;"",Transações!A330,"")</f>
        <v/>
      </c>
      <c r="C330" s="17" t="str">
        <f aca="false">IF(Transações!B330&lt;&gt;"",Transações!B330,"")</f>
        <v/>
      </c>
      <c r="D330" s="18" t="str">
        <f aca="false">IF(Transações!D330&lt;&gt;"",Transações!D330,"")</f>
        <v/>
      </c>
      <c r="E330" s="19" t="str">
        <f aca="false">IF(Transações!E330&lt;&gt;"",Transações!E330,"")</f>
        <v/>
      </c>
      <c r="F330" s="12" t="str">
        <f aca="false">IF(C330="Compra",D330*E330,IF(C330="Staking",D330*E330,""))</f>
        <v/>
      </c>
      <c r="G330" s="12" t="str">
        <f aca="false">IF(C330="Venda",IF(COUNTIF(A$3:A329,A330)&gt;0,(E330-SUMPRODUCT((A$3:A329=A330)*(C$3:C329="Compra")*F$3:F329)/IF(SUMPRODUCT((A$3:A329=A330)*(C$3:C329="Compra")*D$3:D329)=0,1,SUMPRODUCT((A$3:A329=A330)*(C$3:C329="Compra")*D$3:D329)))*D330,0),"")</f>
        <v/>
      </c>
      <c r="H330" s="12" t="str">
        <f aca="false">IF(C330="Venda",E330*D330,"")</f>
        <v/>
      </c>
    </row>
    <row r="331" customFormat="false" ht="15" hidden="false" customHeight="false" outlineLevel="0" collapsed="false">
      <c r="A331" s="14" t="str">
        <f aca="false">IF(Transações!C331&lt;&gt;"",Transações!C331,"")</f>
        <v/>
      </c>
      <c r="B331" s="14" t="str">
        <f aca="false">IF(Transações!A331&lt;&gt;"",Transações!A331,"")</f>
        <v/>
      </c>
      <c r="C331" s="14" t="str">
        <f aca="false">IF(Transações!B331&lt;&gt;"",Transações!B331,"")</f>
        <v/>
      </c>
      <c r="D331" s="15" t="str">
        <f aca="false">IF(Transações!D331&lt;&gt;"",Transações!D331,"")</f>
        <v/>
      </c>
      <c r="E331" s="16" t="str">
        <f aca="false">IF(Transações!E331&lt;&gt;"",Transações!E331,"")</f>
        <v/>
      </c>
      <c r="F331" s="7" t="str">
        <f aca="false">IF(C331="Compra",D331*E331,IF(C331="Staking",D331*E331,""))</f>
        <v/>
      </c>
      <c r="G331" s="7" t="str">
        <f aca="false">IF(C331="Venda",IF(COUNTIF(A$3:A330,A331)&gt;0,(E331-SUMPRODUCT((A$3:A330=A331)*(C$3:C330="Compra")*F$3:F330)/IF(SUMPRODUCT((A$3:A330=A331)*(C$3:C330="Compra")*D$3:D330)=0,1,SUMPRODUCT((A$3:A330=A331)*(C$3:C330="Compra")*D$3:D330)))*D331,0),"")</f>
        <v/>
      </c>
      <c r="H331" s="7" t="str">
        <f aca="false">IF(C331="Venda",E331*D331,"")</f>
        <v/>
      </c>
    </row>
    <row r="332" customFormat="false" ht="15" hidden="false" customHeight="false" outlineLevel="0" collapsed="false">
      <c r="A332" s="17" t="str">
        <f aca="false">IF(Transações!C332&lt;&gt;"",Transações!C332,"")</f>
        <v/>
      </c>
      <c r="B332" s="17" t="str">
        <f aca="false">IF(Transações!A332&lt;&gt;"",Transações!A332,"")</f>
        <v/>
      </c>
      <c r="C332" s="17" t="str">
        <f aca="false">IF(Transações!B332&lt;&gt;"",Transações!B332,"")</f>
        <v/>
      </c>
      <c r="D332" s="18" t="str">
        <f aca="false">IF(Transações!D332&lt;&gt;"",Transações!D332,"")</f>
        <v/>
      </c>
      <c r="E332" s="19" t="str">
        <f aca="false">IF(Transações!E332&lt;&gt;"",Transações!E332,"")</f>
        <v/>
      </c>
      <c r="F332" s="12" t="str">
        <f aca="false">IF(C332="Compra",D332*E332,IF(C332="Staking",D332*E332,""))</f>
        <v/>
      </c>
      <c r="G332" s="12" t="str">
        <f aca="false">IF(C332="Venda",IF(COUNTIF(A$3:A331,A332)&gt;0,(E332-SUMPRODUCT((A$3:A331=A332)*(C$3:C331="Compra")*F$3:F331)/IF(SUMPRODUCT((A$3:A331=A332)*(C$3:C331="Compra")*D$3:D331)=0,1,SUMPRODUCT((A$3:A331=A332)*(C$3:C331="Compra")*D$3:D331)))*D332,0),"")</f>
        <v/>
      </c>
      <c r="H332" s="12" t="str">
        <f aca="false">IF(C332="Venda",E332*D332,"")</f>
        <v/>
      </c>
    </row>
    <row r="333" customFormat="false" ht="15" hidden="false" customHeight="false" outlineLevel="0" collapsed="false">
      <c r="A333" s="14" t="str">
        <f aca="false">IF(Transações!C333&lt;&gt;"",Transações!C333,"")</f>
        <v/>
      </c>
      <c r="B333" s="14" t="str">
        <f aca="false">IF(Transações!A333&lt;&gt;"",Transações!A333,"")</f>
        <v/>
      </c>
      <c r="C333" s="14" t="str">
        <f aca="false">IF(Transações!B333&lt;&gt;"",Transações!B333,"")</f>
        <v/>
      </c>
      <c r="D333" s="15" t="str">
        <f aca="false">IF(Transações!D333&lt;&gt;"",Transações!D333,"")</f>
        <v/>
      </c>
      <c r="E333" s="16" t="str">
        <f aca="false">IF(Transações!E333&lt;&gt;"",Transações!E333,"")</f>
        <v/>
      </c>
      <c r="F333" s="7" t="str">
        <f aca="false">IF(C333="Compra",D333*E333,IF(C333="Staking",D333*E333,""))</f>
        <v/>
      </c>
      <c r="G333" s="7" t="str">
        <f aca="false">IF(C333="Venda",IF(COUNTIF(A$3:A332,A333)&gt;0,(E333-SUMPRODUCT((A$3:A332=A333)*(C$3:C332="Compra")*F$3:F332)/IF(SUMPRODUCT((A$3:A332=A333)*(C$3:C332="Compra")*D$3:D332)=0,1,SUMPRODUCT((A$3:A332=A333)*(C$3:C332="Compra")*D$3:D332)))*D333,0),"")</f>
        <v/>
      </c>
      <c r="H333" s="7" t="str">
        <f aca="false">IF(C333="Venda",E333*D333,"")</f>
        <v/>
      </c>
    </row>
    <row r="334" customFormat="false" ht="15" hidden="false" customHeight="false" outlineLevel="0" collapsed="false">
      <c r="A334" s="17" t="str">
        <f aca="false">IF(Transações!C334&lt;&gt;"",Transações!C334,"")</f>
        <v/>
      </c>
      <c r="B334" s="17" t="str">
        <f aca="false">IF(Transações!A334&lt;&gt;"",Transações!A334,"")</f>
        <v/>
      </c>
      <c r="C334" s="17" t="str">
        <f aca="false">IF(Transações!B334&lt;&gt;"",Transações!B334,"")</f>
        <v/>
      </c>
      <c r="D334" s="18" t="str">
        <f aca="false">IF(Transações!D334&lt;&gt;"",Transações!D334,"")</f>
        <v/>
      </c>
      <c r="E334" s="19" t="str">
        <f aca="false">IF(Transações!E334&lt;&gt;"",Transações!E334,"")</f>
        <v/>
      </c>
      <c r="F334" s="12" t="str">
        <f aca="false">IF(C334="Compra",D334*E334,IF(C334="Staking",D334*E334,""))</f>
        <v/>
      </c>
      <c r="G334" s="12" t="str">
        <f aca="false">IF(C334="Venda",IF(COUNTIF(A$3:A333,A334)&gt;0,(E334-SUMPRODUCT((A$3:A333=A334)*(C$3:C333="Compra")*F$3:F333)/IF(SUMPRODUCT((A$3:A333=A334)*(C$3:C333="Compra")*D$3:D333)=0,1,SUMPRODUCT((A$3:A333=A334)*(C$3:C333="Compra")*D$3:D333)))*D334,0),"")</f>
        <v/>
      </c>
      <c r="H334" s="12" t="str">
        <f aca="false">IF(C334="Venda",E334*D334,"")</f>
        <v/>
      </c>
    </row>
    <row r="335" customFormat="false" ht="15" hidden="false" customHeight="false" outlineLevel="0" collapsed="false">
      <c r="A335" s="14" t="str">
        <f aca="false">IF(Transações!C335&lt;&gt;"",Transações!C335,"")</f>
        <v/>
      </c>
      <c r="B335" s="14" t="str">
        <f aca="false">IF(Transações!A335&lt;&gt;"",Transações!A335,"")</f>
        <v/>
      </c>
      <c r="C335" s="14" t="str">
        <f aca="false">IF(Transações!B335&lt;&gt;"",Transações!B335,"")</f>
        <v/>
      </c>
      <c r="D335" s="15" t="str">
        <f aca="false">IF(Transações!D335&lt;&gt;"",Transações!D335,"")</f>
        <v/>
      </c>
      <c r="E335" s="16" t="str">
        <f aca="false">IF(Transações!E335&lt;&gt;"",Transações!E335,"")</f>
        <v/>
      </c>
      <c r="F335" s="7" t="str">
        <f aca="false">IF(C335="Compra",D335*E335,IF(C335="Staking",D335*E335,""))</f>
        <v/>
      </c>
      <c r="G335" s="7" t="str">
        <f aca="false">IF(C335="Venda",IF(COUNTIF(A$3:A334,A335)&gt;0,(E335-SUMPRODUCT((A$3:A334=A335)*(C$3:C334="Compra")*F$3:F334)/IF(SUMPRODUCT((A$3:A334=A335)*(C$3:C334="Compra")*D$3:D334)=0,1,SUMPRODUCT((A$3:A334=A335)*(C$3:C334="Compra")*D$3:D334)))*D335,0),"")</f>
        <v/>
      </c>
      <c r="H335" s="7" t="str">
        <f aca="false">IF(C335="Venda",E335*D335,"")</f>
        <v/>
      </c>
    </row>
    <row r="336" customFormat="false" ht="15" hidden="false" customHeight="false" outlineLevel="0" collapsed="false">
      <c r="A336" s="17" t="str">
        <f aca="false">IF(Transações!C336&lt;&gt;"",Transações!C336,"")</f>
        <v/>
      </c>
      <c r="B336" s="17" t="str">
        <f aca="false">IF(Transações!A336&lt;&gt;"",Transações!A336,"")</f>
        <v/>
      </c>
      <c r="C336" s="17" t="str">
        <f aca="false">IF(Transações!B336&lt;&gt;"",Transações!B336,"")</f>
        <v/>
      </c>
      <c r="D336" s="18" t="str">
        <f aca="false">IF(Transações!D336&lt;&gt;"",Transações!D336,"")</f>
        <v/>
      </c>
      <c r="E336" s="19" t="str">
        <f aca="false">IF(Transações!E336&lt;&gt;"",Transações!E336,"")</f>
        <v/>
      </c>
      <c r="F336" s="12" t="str">
        <f aca="false">IF(C336="Compra",D336*E336,IF(C336="Staking",D336*E336,""))</f>
        <v/>
      </c>
      <c r="G336" s="12" t="str">
        <f aca="false">IF(C336="Venda",IF(COUNTIF(A$3:A335,A336)&gt;0,(E336-SUMPRODUCT((A$3:A335=A336)*(C$3:C335="Compra")*F$3:F335)/IF(SUMPRODUCT((A$3:A335=A336)*(C$3:C335="Compra")*D$3:D335)=0,1,SUMPRODUCT((A$3:A335=A336)*(C$3:C335="Compra")*D$3:D335)))*D336,0),"")</f>
        <v/>
      </c>
      <c r="H336" s="12" t="str">
        <f aca="false">IF(C336="Venda",E336*D336,"")</f>
        <v/>
      </c>
    </row>
    <row r="337" customFormat="false" ht="15" hidden="false" customHeight="false" outlineLevel="0" collapsed="false">
      <c r="A337" s="14" t="str">
        <f aca="false">IF(Transações!C337&lt;&gt;"",Transações!C337,"")</f>
        <v/>
      </c>
      <c r="B337" s="14" t="str">
        <f aca="false">IF(Transações!A337&lt;&gt;"",Transações!A337,"")</f>
        <v/>
      </c>
      <c r="C337" s="14" t="str">
        <f aca="false">IF(Transações!B337&lt;&gt;"",Transações!B337,"")</f>
        <v/>
      </c>
      <c r="D337" s="15" t="str">
        <f aca="false">IF(Transações!D337&lt;&gt;"",Transações!D337,"")</f>
        <v/>
      </c>
      <c r="E337" s="16" t="str">
        <f aca="false">IF(Transações!E337&lt;&gt;"",Transações!E337,"")</f>
        <v/>
      </c>
      <c r="F337" s="7" t="str">
        <f aca="false">IF(C337="Compra",D337*E337,IF(C337="Staking",D337*E337,""))</f>
        <v/>
      </c>
      <c r="G337" s="7" t="str">
        <f aca="false">IF(C337="Venda",IF(COUNTIF(A$3:A336,A337)&gt;0,(E337-SUMPRODUCT((A$3:A336=A337)*(C$3:C336="Compra")*F$3:F336)/IF(SUMPRODUCT((A$3:A336=A337)*(C$3:C336="Compra")*D$3:D336)=0,1,SUMPRODUCT((A$3:A336=A337)*(C$3:C336="Compra")*D$3:D336)))*D337,0),"")</f>
        <v/>
      </c>
      <c r="H337" s="7" t="str">
        <f aca="false">IF(C337="Venda",E337*D337,"")</f>
        <v/>
      </c>
    </row>
    <row r="338" customFormat="false" ht="15" hidden="false" customHeight="false" outlineLevel="0" collapsed="false">
      <c r="A338" s="17" t="str">
        <f aca="false">IF(Transações!C338&lt;&gt;"",Transações!C338,"")</f>
        <v/>
      </c>
      <c r="B338" s="17" t="str">
        <f aca="false">IF(Transações!A338&lt;&gt;"",Transações!A338,"")</f>
        <v/>
      </c>
      <c r="C338" s="17" t="str">
        <f aca="false">IF(Transações!B338&lt;&gt;"",Transações!B338,"")</f>
        <v/>
      </c>
      <c r="D338" s="18" t="str">
        <f aca="false">IF(Transações!D338&lt;&gt;"",Transações!D338,"")</f>
        <v/>
      </c>
      <c r="E338" s="19" t="str">
        <f aca="false">IF(Transações!E338&lt;&gt;"",Transações!E338,"")</f>
        <v/>
      </c>
      <c r="F338" s="12" t="str">
        <f aca="false">IF(C338="Compra",D338*E338,IF(C338="Staking",D338*E338,""))</f>
        <v/>
      </c>
      <c r="G338" s="12" t="str">
        <f aca="false">IF(C338="Venda",IF(COUNTIF(A$3:A337,A338)&gt;0,(E338-SUMPRODUCT((A$3:A337=A338)*(C$3:C337="Compra")*F$3:F337)/IF(SUMPRODUCT((A$3:A337=A338)*(C$3:C337="Compra")*D$3:D337)=0,1,SUMPRODUCT((A$3:A337=A338)*(C$3:C337="Compra")*D$3:D337)))*D338,0),"")</f>
        <v/>
      </c>
      <c r="H338" s="12" t="str">
        <f aca="false">IF(C338="Venda",E338*D338,"")</f>
        <v/>
      </c>
    </row>
    <row r="339" customFormat="false" ht="15" hidden="false" customHeight="false" outlineLevel="0" collapsed="false">
      <c r="A339" s="14" t="str">
        <f aca="false">IF(Transações!C339&lt;&gt;"",Transações!C339,"")</f>
        <v/>
      </c>
      <c r="B339" s="14" t="str">
        <f aca="false">IF(Transações!A339&lt;&gt;"",Transações!A339,"")</f>
        <v/>
      </c>
      <c r="C339" s="14" t="str">
        <f aca="false">IF(Transações!B339&lt;&gt;"",Transações!B339,"")</f>
        <v/>
      </c>
      <c r="D339" s="15" t="str">
        <f aca="false">IF(Transações!D339&lt;&gt;"",Transações!D339,"")</f>
        <v/>
      </c>
      <c r="E339" s="16" t="str">
        <f aca="false">IF(Transações!E339&lt;&gt;"",Transações!E339,"")</f>
        <v/>
      </c>
      <c r="F339" s="7" t="str">
        <f aca="false">IF(C339="Compra",D339*E339,IF(C339="Staking",D339*E339,""))</f>
        <v/>
      </c>
      <c r="G339" s="7" t="str">
        <f aca="false">IF(C339="Venda",IF(COUNTIF(A$3:A338,A339)&gt;0,(E339-SUMPRODUCT((A$3:A338=A339)*(C$3:C338="Compra")*F$3:F338)/IF(SUMPRODUCT((A$3:A338=A339)*(C$3:C338="Compra")*D$3:D338)=0,1,SUMPRODUCT((A$3:A338=A339)*(C$3:C338="Compra")*D$3:D338)))*D339,0),"")</f>
        <v/>
      </c>
      <c r="H339" s="7" t="str">
        <f aca="false">IF(C339="Venda",E339*D339,"")</f>
        <v/>
      </c>
    </row>
    <row r="340" customFormat="false" ht="15" hidden="false" customHeight="false" outlineLevel="0" collapsed="false">
      <c r="A340" s="17" t="str">
        <f aca="false">IF(Transações!C340&lt;&gt;"",Transações!C340,"")</f>
        <v/>
      </c>
      <c r="B340" s="17" t="str">
        <f aca="false">IF(Transações!A340&lt;&gt;"",Transações!A340,"")</f>
        <v/>
      </c>
      <c r="C340" s="17" t="str">
        <f aca="false">IF(Transações!B340&lt;&gt;"",Transações!B340,"")</f>
        <v/>
      </c>
      <c r="D340" s="18" t="str">
        <f aca="false">IF(Transações!D340&lt;&gt;"",Transações!D340,"")</f>
        <v/>
      </c>
      <c r="E340" s="19" t="str">
        <f aca="false">IF(Transações!E340&lt;&gt;"",Transações!E340,"")</f>
        <v/>
      </c>
      <c r="F340" s="12" t="str">
        <f aca="false">IF(C340="Compra",D340*E340,IF(C340="Staking",D340*E340,""))</f>
        <v/>
      </c>
      <c r="G340" s="12" t="str">
        <f aca="false">IF(C340="Venda",IF(COUNTIF(A$3:A339,A340)&gt;0,(E340-SUMPRODUCT((A$3:A339=A340)*(C$3:C339="Compra")*F$3:F339)/IF(SUMPRODUCT((A$3:A339=A340)*(C$3:C339="Compra")*D$3:D339)=0,1,SUMPRODUCT((A$3:A339=A340)*(C$3:C339="Compra")*D$3:D339)))*D340,0),"")</f>
        <v/>
      </c>
      <c r="H340" s="12" t="str">
        <f aca="false">IF(C340="Venda",E340*D340,"")</f>
        <v/>
      </c>
    </row>
    <row r="341" customFormat="false" ht="15" hidden="false" customHeight="false" outlineLevel="0" collapsed="false">
      <c r="A341" s="14" t="str">
        <f aca="false">IF(Transações!C341&lt;&gt;"",Transações!C341,"")</f>
        <v/>
      </c>
      <c r="B341" s="14" t="str">
        <f aca="false">IF(Transações!A341&lt;&gt;"",Transações!A341,"")</f>
        <v/>
      </c>
      <c r="C341" s="14" t="str">
        <f aca="false">IF(Transações!B341&lt;&gt;"",Transações!B341,"")</f>
        <v/>
      </c>
      <c r="D341" s="15" t="str">
        <f aca="false">IF(Transações!D341&lt;&gt;"",Transações!D341,"")</f>
        <v/>
      </c>
      <c r="E341" s="16" t="str">
        <f aca="false">IF(Transações!E341&lt;&gt;"",Transações!E341,"")</f>
        <v/>
      </c>
      <c r="F341" s="7" t="str">
        <f aca="false">IF(C341="Compra",D341*E341,IF(C341="Staking",D341*E341,""))</f>
        <v/>
      </c>
      <c r="G341" s="7" t="str">
        <f aca="false">IF(C341="Venda",IF(COUNTIF(A$3:A340,A341)&gt;0,(E341-SUMPRODUCT((A$3:A340=A341)*(C$3:C340="Compra")*F$3:F340)/IF(SUMPRODUCT((A$3:A340=A341)*(C$3:C340="Compra")*D$3:D340)=0,1,SUMPRODUCT((A$3:A340=A341)*(C$3:C340="Compra")*D$3:D340)))*D341,0),"")</f>
        <v/>
      </c>
      <c r="H341" s="7" t="str">
        <f aca="false">IF(C341="Venda",E341*D341,"")</f>
        <v/>
      </c>
    </row>
    <row r="342" customFormat="false" ht="15" hidden="false" customHeight="false" outlineLevel="0" collapsed="false">
      <c r="A342" s="17" t="str">
        <f aca="false">IF(Transações!C342&lt;&gt;"",Transações!C342,"")</f>
        <v/>
      </c>
      <c r="B342" s="17" t="str">
        <f aca="false">IF(Transações!A342&lt;&gt;"",Transações!A342,"")</f>
        <v/>
      </c>
      <c r="C342" s="17" t="str">
        <f aca="false">IF(Transações!B342&lt;&gt;"",Transações!B342,"")</f>
        <v/>
      </c>
      <c r="D342" s="18" t="str">
        <f aca="false">IF(Transações!D342&lt;&gt;"",Transações!D342,"")</f>
        <v/>
      </c>
      <c r="E342" s="19" t="str">
        <f aca="false">IF(Transações!E342&lt;&gt;"",Transações!E342,"")</f>
        <v/>
      </c>
      <c r="F342" s="12" t="str">
        <f aca="false">IF(C342="Compra",D342*E342,IF(C342="Staking",D342*E342,""))</f>
        <v/>
      </c>
      <c r="G342" s="12" t="str">
        <f aca="false">IF(C342="Venda",IF(COUNTIF(A$3:A341,A342)&gt;0,(E342-SUMPRODUCT((A$3:A341=A342)*(C$3:C341="Compra")*F$3:F341)/IF(SUMPRODUCT((A$3:A341=A342)*(C$3:C341="Compra")*D$3:D341)=0,1,SUMPRODUCT((A$3:A341=A342)*(C$3:C341="Compra")*D$3:D341)))*D342,0),"")</f>
        <v/>
      </c>
      <c r="H342" s="12" t="str">
        <f aca="false">IF(C342="Venda",E342*D342,"")</f>
        <v/>
      </c>
    </row>
    <row r="343" customFormat="false" ht="15" hidden="false" customHeight="false" outlineLevel="0" collapsed="false">
      <c r="A343" s="14" t="str">
        <f aca="false">IF(Transações!C343&lt;&gt;"",Transações!C343,"")</f>
        <v/>
      </c>
      <c r="B343" s="14" t="str">
        <f aca="false">IF(Transações!A343&lt;&gt;"",Transações!A343,"")</f>
        <v/>
      </c>
      <c r="C343" s="14" t="str">
        <f aca="false">IF(Transações!B343&lt;&gt;"",Transações!B343,"")</f>
        <v/>
      </c>
      <c r="D343" s="15" t="str">
        <f aca="false">IF(Transações!D343&lt;&gt;"",Transações!D343,"")</f>
        <v/>
      </c>
      <c r="E343" s="16" t="str">
        <f aca="false">IF(Transações!E343&lt;&gt;"",Transações!E343,"")</f>
        <v/>
      </c>
      <c r="F343" s="7" t="str">
        <f aca="false">IF(C343="Compra",D343*E343,IF(C343="Staking",D343*E343,""))</f>
        <v/>
      </c>
      <c r="G343" s="7" t="str">
        <f aca="false">IF(C343="Venda",IF(COUNTIF(A$3:A342,A343)&gt;0,(E343-SUMPRODUCT((A$3:A342=A343)*(C$3:C342="Compra")*F$3:F342)/IF(SUMPRODUCT((A$3:A342=A343)*(C$3:C342="Compra")*D$3:D342)=0,1,SUMPRODUCT((A$3:A342=A343)*(C$3:C342="Compra")*D$3:D342)))*D343,0),"")</f>
        <v/>
      </c>
      <c r="H343" s="7" t="str">
        <f aca="false">IF(C343="Venda",E343*D343,"")</f>
        <v/>
      </c>
    </row>
    <row r="344" customFormat="false" ht="15" hidden="false" customHeight="false" outlineLevel="0" collapsed="false">
      <c r="A344" s="17" t="str">
        <f aca="false">IF(Transações!C344&lt;&gt;"",Transações!C344,"")</f>
        <v/>
      </c>
      <c r="B344" s="17" t="str">
        <f aca="false">IF(Transações!A344&lt;&gt;"",Transações!A344,"")</f>
        <v/>
      </c>
      <c r="C344" s="17" t="str">
        <f aca="false">IF(Transações!B344&lt;&gt;"",Transações!B344,"")</f>
        <v/>
      </c>
      <c r="D344" s="18" t="str">
        <f aca="false">IF(Transações!D344&lt;&gt;"",Transações!D344,"")</f>
        <v/>
      </c>
      <c r="E344" s="19" t="str">
        <f aca="false">IF(Transações!E344&lt;&gt;"",Transações!E344,"")</f>
        <v/>
      </c>
      <c r="F344" s="12" t="str">
        <f aca="false">IF(C344="Compra",D344*E344,IF(C344="Staking",D344*E344,""))</f>
        <v/>
      </c>
      <c r="G344" s="12" t="str">
        <f aca="false">IF(C344="Venda",IF(COUNTIF(A$3:A343,A344)&gt;0,(E344-SUMPRODUCT((A$3:A343=A344)*(C$3:C343="Compra")*F$3:F343)/IF(SUMPRODUCT((A$3:A343=A344)*(C$3:C343="Compra")*D$3:D343)=0,1,SUMPRODUCT((A$3:A343=A344)*(C$3:C343="Compra")*D$3:D343)))*D344,0),"")</f>
        <v/>
      </c>
      <c r="H344" s="12" t="str">
        <f aca="false">IF(C344="Venda",E344*D344,"")</f>
        <v/>
      </c>
    </row>
    <row r="345" customFormat="false" ht="15" hidden="false" customHeight="false" outlineLevel="0" collapsed="false">
      <c r="A345" s="14" t="str">
        <f aca="false">IF(Transações!C345&lt;&gt;"",Transações!C345,"")</f>
        <v/>
      </c>
      <c r="B345" s="14" t="str">
        <f aca="false">IF(Transações!A345&lt;&gt;"",Transações!A345,"")</f>
        <v/>
      </c>
      <c r="C345" s="14" t="str">
        <f aca="false">IF(Transações!B345&lt;&gt;"",Transações!B345,"")</f>
        <v/>
      </c>
      <c r="D345" s="15" t="str">
        <f aca="false">IF(Transações!D345&lt;&gt;"",Transações!D345,"")</f>
        <v/>
      </c>
      <c r="E345" s="16" t="str">
        <f aca="false">IF(Transações!E345&lt;&gt;"",Transações!E345,"")</f>
        <v/>
      </c>
      <c r="F345" s="7" t="str">
        <f aca="false">IF(C345="Compra",D345*E345,IF(C345="Staking",D345*E345,""))</f>
        <v/>
      </c>
      <c r="G345" s="7" t="str">
        <f aca="false">IF(C345="Venda",IF(COUNTIF(A$3:A344,A345)&gt;0,(E345-SUMPRODUCT((A$3:A344=A345)*(C$3:C344="Compra")*F$3:F344)/IF(SUMPRODUCT((A$3:A344=A345)*(C$3:C344="Compra")*D$3:D344)=0,1,SUMPRODUCT((A$3:A344=A345)*(C$3:C344="Compra")*D$3:D344)))*D345,0),"")</f>
        <v/>
      </c>
      <c r="H345" s="7" t="str">
        <f aca="false">IF(C345="Venda",E345*D345,"")</f>
        <v/>
      </c>
    </row>
    <row r="346" customFormat="false" ht="15" hidden="false" customHeight="false" outlineLevel="0" collapsed="false">
      <c r="A346" s="17" t="str">
        <f aca="false">IF(Transações!C346&lt;&gt;"",Transações!C346,"")</f>
        <v/>
      </c>
      <c r="B346" s="17" t="str">
        <f aca="false">IF(Transações!A346&lt;&gt;"",Transações!A346,"")</f>
        <v/>
      </c>
      <c r="C346" s="17" t="str">
        <f aca="false">IF(Transações!B346&lt;&gt;"",Transações!B346,"")</f>
        <v/>
      </c>
      <c r="D346" s="18" t="str">
        <f aca="false">IF(Transações!D346&lt;&gt;"",Transações!D346,"")</f>
        <v/>
      </c>
      <c r="E346" s="19" t="str">
        <f aca="false">IF(Transações!E346&lt;&gt;"",Transações!E346,"")</f>
        <v/>
      </c>
      <c r="F346" s="12" t="str">
        <f aca="false">IF(C346="Compra",D346*E346,IF(C346="Staking",D346*E346,""))</f>
        <v/>
      </c>
      <c r="G346" s="12" t="str">
        <f aca="false">IF(C346="Venda",IF(COUNTIF(A$3:A345,A346)&gt;0,(E346-SUMPRODUCT((A$3:A345=A346)*(C$3:C345="Compra")*F$3:F345)/IF(SUMPRODUCT((A$3:A345=A346)*(C$3:C345="Compra")*D$3:D345)=0,1,SUMPRODUCT((A$3:A345=A346)*(C$3:C345="Compra")*D$3:D345)))*D346,0),"")</f>
        <v/>
      </c>
      <c r="H346" s="12" t="str">
        <f aca="false">IF(C346="Venda",E346*D346,"")</f>
        <v/>
      </c>
    </row>
    <row r="347" customFormat="false" ht="15" hidden="false" customHeight="false" outlineLevel="0" collapsed="false">
      <c r="A347" s="14" t="str">
        <f aca="false">IF(Transações!C347&lt;&gt;"",Transações!C347,"")</f>
        <v/>
      </c>
      <c r="B347" s="14" t="str">
        <f aca="false">IF(Transações!A347&lt;&gt;"",Transações!A347,"")</f>
        <v/>
      </c>
      <c r="C347" s="14" t="str">
        <f aca="false">IF(Transações!B347&lt;&gt;"",Transações!B347,"")</f>
        <v/>
      </c>
      <c r="D347" s="15" t="str">
        <f aca="false">IF(Transações!D347&lt;&gt;"",Transações!D347,"")</f>
        <v/>
      </c>
      <c r="E347" s="16" t="str">
        <f aca="false">IF(Transações!E347&lt;&gt;"",Transações!E347,"")</f>
        <v/>
      </c>
      <c r="F347" s="7" t="str">
        <f aca="false">IF(C347="Compra",D347*E347,IF(C347="Staking",D347*E347,""))</f>
        <v/>
      </c>
      <c r="G347" s="7" t="str">
        <f aca="false">IF(C347="Venda",IF(COUNTIF(A$3:A346,A347)&gt;0,(E347-SUMPRODUCT((A$3:A346=A347)*(C$3:C346="Compra")*F$3:F346)/IF(SUMPRODUCT((A$3:A346=A347)*(C$3:C346="Compra")*D$3:D346)=0,1,SUMPRODUCT((A$3:A346=A347)*(C$3:C346="Compra")*D$3:D346)))*D347,0),"")</f>
        <v/>
      </c>
      <c r="H347" s="7" t="str">
        <f aca="false">IF(C347="Venda",E347*D347,"")</f>
        <v/>
      </c>
    </row>
    <row r="348" customFormat="false" ht="15" hidden="false" customHeight="false" outlineLevel="0" collapsed="false">
      <c r="A348" s="17" t="str">
        <f aca="false">IF(Transações!C348&lt;&gt;"",Transações!C348,"")</f>
        <v/>
      </c>
      <c r="B348" s="17" t="str">
        <f aca="false">IF(Transações!A348&lt;&gt;"",Transações!A348,"")</f>
        <v/>
      </c>
      <c r="C348" s="17" t="str">
        <f aca="false">IF(Transações!B348&lt;&gt;"",Transações!B348,"")</f>
        <v/>
      </c>
      <c r="D348" s="18" t="str">
        <f aca="false">IF(Transações!D348&lt;&gt;"",Transações!D348,"")</f>
        <v/>
      </c>
      <c r="E348" s="19" t="str">
        <f aca="false">IF(Transações!E348&lt;&gt;"",Transações!E348,"")</f>
        <v/>
      </c>
      <c r="F348" s="12" t="str">
        <f aca="false">IF(C348="Compra",D348*E348,IF(C348="Staking",D348*E348,""))</f>
        <v/>
      </c>
      <c r="G348" s="12" t="str">
        <f aca="false">IF(C348="Venda",IF(COUNTIF(A$3:A347,A348)&gt;0,(E348-SUMPRODUCT((A$3:A347=A348)*(C$3:C347="Compra")*F$3:F347)/IF(SUMPRODUCT((A$3:A347=A348)*(C$3:C347="Compra")*D$3:D347)=0,1,SUMPRODUCT((A$3:A347=A348)*(C$3:C347="Compra")*D$3:D347)))*D348,0),"")</f>
        <v/>
      </c>
      <c r="H348" s="12" t="str">
        <f aca="false">IF(C348="Venda",E348*D348,"")</f>
        <v/>
      </c>
    </row>
    <row r="349" customFormat="false" ht="15" hidden="false" customHeight="false" outlineLevel="0" collapsed="false">
      <c r="A349" s="14" t="str">
        <f aca="false">IF(Transações!C349&lt;&gt;"",Transações!C349,"")</f>
        <v/>
      </c>
      <c r="B349" s="14" t="str">
        <f aca="false">IF(Transações!A349&lt;&gt;"",Transações!A349,"")</f>
        <v/>
      </c>
      <c r="C349" s="14" t="str">
        <f aca="false">IF(Transações!B349&lt;&gt;"",Transações!B349,"")</f>
        <v/>
      </c>
      <c r="D349" s="15" t="str">
        <f aca="false">IF(Transações!D349&lt;&gt;"",Transações!D349,"")</f>
        <v/>
      </c>
      <c r="E349" s="16" t="str">
        <f aca="false">IF(Transações!E349&lt;&gt;"",Transações!E349,"")</f>
        <v/>
      </c>
      <c r="F349" s="7" t="str">
        <f aca="false">IF(C349="Compra",D349*E349,IF(C349="Staking",D349*E349,""))</f>
        <v/>
      </c>
      <c r="G349" s="7" t="str">
        <f aca="false">IF(C349="Venda",IF(COUNTIF(A$3:A348,A349)&gt;0,(E349-SUMPRODUCT((A$3:A348=A349)*(C$3:C348="Compra")*F$3:F348)/IF(SUMPRODUCT((A$3:A348=A349)*(C$3:C348="Compra")*D$3:D348)=0,1,SUMPRODUCT((A$3:A348=A349)*(C$3:C348="Compra")*D$3:D348)))*D349,0),"")</f>
        <v/>
      </c>
      <c r="H349" s="7" t="str">
        <f aca="false">IF(C349="Venda",E349*D349,"")</f>
        <v/>
      </c>
    </row>
    <row r="350" customFormat="false" ht="15" hidden="false" customHeight="false" outlineLevel="0" collapsed="false">
      <c r="A350" s="17" t="str">
        <f aca="false">IF(Transações!C350&lt;&gt;"",Transações!C350,"")</f>
        <v/>
      </c>
      <c r="B350" s="17" t="str">
        <f aca="false">IF(Transações!A350&lt;&gt;"",Transações!A350,"")</f>
        <v/>
      </c>
      <c r="C350" s="17" t="str">
        <f aca="false">IF(Transações!B350&lt;&gt;"",Transações!B350,"")</f>
        <v/>
      </c>
      <c r="D350" s="18" t="str">
        <f aca="false">IF(Transações!D350&lt;&gt;"",Transações!D350,"")</f>
        <v/>
      </c>
      <c r="E350" s="19" t="str">
        <f aca="false">IF(Transações!E350&lt;&gt;"",Transações!E350,"")</f>
        <v/>
      </c>
      <c r="F350" s="12" t="str">
        <f aca="false">IF(C350="Compra",D350*E350,IF(C350="Staking",D350*E350,""))</f>
        <v/>
      </c>
      <c r="G350" s="12" t="str">
        <f aca="false">IF(C350="Venda",IF(COUNTIF(A$3:A349,A350)&gt;0,(E350-SUMPRODUCT((A$3:A349=A350)*(C$3:C349="Compra")*F$3:F349)/IF(SUMPRODUCT((A$3:A349=A350)*(C$3:C349="Compra")*D$3:D349)=0,1,SUMPRODUCT((A$3:A349=A350)*(C$3:C349="Compra")*D$3:D349)))*D350,0),"")</f>
        <v/>
      </c>
      <c r="H350" s="12" t="str">
        <f aca="false">IF(C350="Venda",E350*D350,"")</f>
        <v/>
      </c>
    </row>
    <row r="351" customFormat="false" ht="15" hidden="false" customHeight="false" outlineLevel="0" collapsed="false">
      <c r="A351" s="14" t="str">
        <f aca="false">IF(Transações!C351&lt;&gt;"",Transações!C351,"")</f>
        <v/>
      </c>
      <c r="B351" s="14" t="str">
        <f aca="false">IF(Transações!A351&lt;&gt;"",Transações!A351,"")</f>
        <v/>
      </c>
      <c r="C351" s="14" t="str">
        <f aca="false">IF(Transações!B351&lt;&gt;"",Transações!B351,"")</f>
        <v/>
      </c>
      <c r="D351" s="15" t="str">
        <f aca="false">IF(Transações!D351&lt;&gt;"",Transações!D351,"")</f>
        <v/>
      </c>
      <c r="E351" s="16" t="str">
        <f aca="false">IF(Transações!E351&lt;&gt;"",Transações!E351,"")</f>
        <v/>
      </c>
      <c r="F351" s="7" t="str">
        <f aca="false">IF(C351="Compra",D351*E351,IF(C351="Staking",D351*E351,""))</f>
        <v/>
      </c>
      <c r="G351" s="7" t="str">
        <f aca="false">IF(C351="Venda",IF(COUNTIF(A$3:A350,A351)&gt;0,(E351-SUMPRODUCT((A$3:A350=A351)*(C$3:C350="Compra")*F$3:F350)/IF(SUMPRODUCT((A$3:A350=A351)*(C$3:C350="Compra")*D$3:D350)=0,1,SUMPRODUCT((A$3:A350=A351)*(C$3:C350="Compra")*D$3:D350)))*D351,0),"")</f>
        <v/>
      </c>
      <c r="H351" s="7" t="str">
        <f aca="false">IF(C351="Venda",E351*D351,"")</f>
        <v/>
      </c>
    </row>
    <row r="352" customFormat="false" ht="15" hidden="false" customHeight="false" outlineLevel="0" collapsed="false">
      <c r="A352" s="17" t="str">
        <f aca="false">IF(Transações!C352&lt;&gt;"",Transações!C352,"")</f>
        <v/>
      </c>
      <c r="B352" s="17" t="str">
        <f aca="false">IF(Transações!A352&lt;&gt;"",Transações!A352,"")</f>
        <v/>
      </c>
      <c r="C352" s="17" t="str">
        <f aca="false">IF(Transações!B352&lt;&gt;"",Transações!B352,"")</f>
        <v/>
      </c>
      <c r="D352" s="18" t="str">
        <f aca="false">IF(Transações!D352&lt;&gt;"",Transações!D352,"")</f>
        <v/>
      </c>
      <c r="E352" s="19" t="str">
        <f aca="false">IF(Transações!E352&lt;&gt;"",Transações!E352,"")</f>
        <v/>
      </c>
      <c r="F352" s="12" t="str">
        <f aca="false">IF(C352="Compra",D352*E352,IF(C352="Staking",D352*E352,""))</f>
        <v/>
      </c>
      <c r="G352" s="12" t="str">
        <f aca="false">IF(C352="Venda",IF(COUNTIF(A$3:A351,A352)&gt;0,(E352-SUMPRODUCT((A$3:A351=A352)*(C$3:C351="Compra")*F$3:F351)/IF(SUMPRODUCT((A$3:A351=A352)*(C$3:C351="Compra")*D$3:D351)=0,1,SUMPRODUCT((A$3:A351=A352)*(C$3:C351="Compra")*D$3:D351)))*D352,0),"")</f>
        <v/>
      </c>
      <c r="H352" s="12" t="str">
        <f aca="false">IF(C352="Venda",E352*D352,"")</f>
        <v/>
      </c>
    </row>
    <row r="353" customFormat="false" ht="15" hidden="false" customHeight="false" outlineLevel="0" collapsed="false">
      <c r="A353" s="14" t="str">
        <f aca="false">IF(Transações!C353&lt;&gt;"",Transações!C353,"")</f>
        <v/>
      </c>
      <c r="B353" s="14" t="str">
        <f aca="false">IF(Transações!A353&lt;&gt;"",Transações!A353,"")</f>
        <v/>
      </c>
      <c r="C353" s="14" t="str">
        <f aca="false">IF(Transações!B353&lt;&gt;"",Transações!B353,"")</f>
        <v/>
      </c>
      <c r="D353" s="15" t="str">
        <f aca="false">IF(Transações!D353&lt;&gt;"",Transações!D353,"")</f>
        <v/>
      </c>
      <c r="E353" s="16" t="str">
        <f aca="false">IF(Transações!E353&lt;&gt;"",Transações!E353,"")</f>
        <v/>
      </c>
      <c r="F353" s="7" t="str">
        <f aca="false">IF(C353="Compra",D353*E353,IF(C353="Staking",D353*E353,""))</f>
        <v/>
      </c>
      <c r="G353" s="7" t="str">
        <f aca="false">IF(C353="Venda",IF(COUNTIF(A$3:A352,A353)&gt;0,(E353-SUMPRODUCT((A$3:A352=A353)*(C$3:C352="Compra")*F$3:F352)/IF(SUMPRODUCT((A$3:A352=A353)*(C$3:C352="Compra")*D$3:D352)=0,1,SUMPRODUCT((A$3:A352=A353)*(C$3:C352="Compra")*D$3:D352)))*D353,0),"")</f>
        <v/>
      </c>
      <c r="H353" s="7" t="str">
        <f aca="false">IF(C353="Venda",E353*D353,"")</f>
        <v/>
      </c>
    </row>
    <row r="354" customFormat="false" ht="15" hidden="false" customHeight="false" outlineLevel="0" collapsed="false">
      <c r="A354" s="17" t="str">
        <f aca="false">IF(Transações!C354&lt;&gt;"",Transações!C354,"")</f>
        <v/>
      </c>
      <c r="B354" s="17" t="str">
        <f aca="false">IF(Transações!A354&lt;&gt;"",Transações!A354,"")</f>
        <v/>
      </c>
      <c r="C354" s="17" t="str">
        <f aca="false">IF(Transações!B354&lt;&gt;"",Transações!B354,"")</f>
        <v/>
      </c>
      <c r="D354" s="18" t="str">
        <f aca="false">IF(Transações!D354&lt;&gt;"",Transações!D354,"")</f>
        <v/>
      </c>
      <c r="E354" s="19" t="str">
        <f aca="false">IF(Transações!E354&lt;&gt;"",Transações!E354,"")</f>
        <v/>
      </c>
      <c r="F354" s="12" t="str">
        <f aca="false">IF(C354="Compra",D354*E354,IF(C354="Staking",D354*E354,""))</f>
        <v/>
      </c>
      <c r="G354" s="12" t="str">
        <f aca="false">IF(C354="Venda",IF(COUNTIF(A$3:A353,A354)&gt;0,(E354-SUMPRODUCT((A$3:A353=A354)*(C$3:C353="Compra")*F$3:F353)/IF(SUMPRODUCT((A$3:A353=A354)*(C$3:C353="Compra")*D$3:D353)=0,1,SUMPRODUCT((A$3:A353=A354)*(C$3:C353="Compra")*D$3:D353)))*D354,0),"")</f>
        <v/>
      </c>
      <c r="H354" s="12" t="str">
        <f aca="false">IF(C354="Venda",E354*D354,"")</f>
        <v/>
      </c>
    </row>
    <row r="355" customFormat="false" ht="15" hidden="false" customHeight="false" outlineLevel="0" collapsed="false">
      <c r="A355" s="14" t="str">
        <f aca="false">IF(Transações!C355&lt;&gt;"",Transações!C355,"")</f>
        <v/>
      </c>
      <c r="B355" s="14" t="str">
        <f aca="false">IF(Transações!A355&lt;&gt;"",Transações!A355,"")</f>
        <v/>
      </c>
      <c r="C355" s="14" t="str">
        <f aca="false">IF(Transações!B355&lt;&gt;"",Transações!B355,"")</f>
        <v/>
      </c>
      <c r="D355" s="15" t="str">
        <f aca="false">IF(Transações!D355&lt;&gt;"",Transações!D355,"")</f>
        <v/>
      </c>
      <c r="E355" s="16" t="str">
        <f aca="false">IF(Transações!E355&lt;&gt;"",Transações!E355,"")</f>
        <v/>
      </c>
      <c r="F355" s="7" t="str">
        <f aca="false">IF(C355="Compra",D355*E355,IF(C355="Staking",D355*E355,""))</f>
        <v/>
      </c>
      <c r="G355" s="7" t="str">
        <f aca="false">IF(C355="Venda",IF(COUNTIF(A$3:A354,A355)&gt;0,(E355-SUMPRODUCT((A$3:A354=A355)*(C$3:C354="Compra")*F$3:F354)/IF(SUMPRODUCT((A$3:A354=A355)*(C$3:C354="Compra")*D$3:D354)=0,1,SUMPRODUCT((A$3:A354=A355)*(C$3:C354="Compra")*D$3:D354)))*D355,0),"")</f>
        <v/>
      </c>
      <c r="H355" s="7" t="str">
        <f aca="false">IF(C355="Venda",E355*D355,"")</f>
        <v/>
      </c>
    </row>
    <row r="356" customFormat="false" ht="15" hidden="false" customHeight="false" outlineLevel="0" collapsed="false">
      <c r="A356" s="17" t="str">
        <f aca="false">IF(Transações!C356&lt;&gt;"",Transações!C356,"")</f>
        <v/>
      </c>
      <c r="B356" s="17" t="str">
        <f aca="false">IF(Transações!A356&lt;&gt;"",Transações!A356,"")</f>
        <v/>
      </c>
      <c r="C356" s="17" t="str">
        <f aca="false">IF(Transações!B356&lt;&gt;"",Transações!B356,"")</f>
        <v/>
      </c>
      <c r="D356" s="18" t="str">
        <f aca="false">IF(Transações!D356&lt;&gt;"",Transações!D356,"")</f>
        <v/>
      </c>
      <c r="E356" s="19" t="str">
        <f aca="false">IF(Transações!E356&lt;&gt;"",Transações!E356,"")</f>
        <v/>
      </c>
      <c r="F356" s="12" t="str">
        <f aca="false">IF(C356="Compra",D356*E356,IF(C356="Staking",D356*E356,""))</f>
        <v/>
      </c>
      <c r="G356" s="12" t="str">
        <f aca="false">IF(C356="Venda",IF(COUNTIF(A$3:A355,A356)&gt;0,(E356-SUMPRODUCT((A$3:A355=A356)*(C$3:C355="Compra")*F$3:F355)/IF(SUMPRODUCT((A$3:A355=A356)*(C$3:C355="Compra")*D$3:D355)=0,1,SUMPRODUCT((A$3:A355=A356)*(C$3:C355="Compra")*D$3:D355)))*D356,0),"")</f>
        <v/>
      </c>
      <c r="H356" s="12" t="str">
        <f aca="false">IF(C356="Venda",E356*D356,"")</f>
        <v/>
      </c>
    </row>
    <row r="357" customFormat="false" ht="15" hidden="false" customHeight="false" outlineLevel="0" collapsed="false">
      <c r="A357" s="14" t="str">
        <f aca="false">IF(Transações!C357&lt;&gt;"",Transações!C357,"")</f>
        <v/>
      </c>
      <c r="B357" s="14" t="str">
        <f aca="false">IF(Transações!A357&lt;&gt;"",Transações!A357,"")</f>
        <v/>
      </c>
      <c r="C357" s="14" t="str">
        <f aca="false">IF(Transações!B357&lt;&gt;"",Transações!B357,"")</f>
        <v/>
      </c>
      <c r="D357" s="15" t="str">
        <f aca="false">IF(Transações!D357&lt;&gt;"",Transações!D357,"")</f>
        <v/>
      </c>
      <c r="E357" s="16" t="str">
        <f aca="false">IF(Transações!E357&lt;&gt;"",Transações!E357,"")</f>
        <v/>
      </c>
      <c r="F357" s="7" t="str">
        <f aca="false">IF(C357="Compra",D357*E357,IF(C357="Staking",D357*E357,""))</f>
        <v/>
      </c>
      <c r="G357" s="7" t="str">
        <f aca="false">IF(C357="Venda",IF(COUNTIF(A$3:A356,A357)&gt;0,(E357-SUMPRODUCT((A$3:A356=A357)*(C$3:C356="Compra")*F$3:F356)/IF(SUMPRODUCT((A$3:A356=A357)*(C$3:C356="Compra")*D$3:D356)=0,1,SUMPRODUCT((A$3:A356=A357)*(C$3:C356="Compra")*D$3:D356)))*D357,0),"")</f>
        <v/>
      </c>
      <c r="H357" s="7" t="str">
        <f aca="false">IF(C357="Venda",E357*D357,"")</f>
        <v/>
      </c>
    </row>
    <row r="358" customFormat="false" ht="15" hidden="false" customHeight="false" outlineLevel="0" collapsed="false">
      <c r="A358" s="17" t="str">
        <f aca="false">IF(Transações!C358&lt;&gt;"",Transações!C358,"")</f>
        <v/>
      </c>
      <c r="B358" s="17" t="str">
        <f aca="false">IF(Transações!A358&lt;&gt;"",Transações!A358,"")</f>
        <v/>
      </c>
      <c r="C358" s="17" t="str">
        <f aca="false">IF(Transações!B358&lt;&gt;"",Transações!B358,"")</f>
        <v/>
      </c>
      <c r="D358" s="18" t="str">
        <f aca="false">IF(Transações!D358&lt;&gt;"",Transações!D358,"")</f>
        <v/>
      </c>
      <c r="E358" s="19" t="str">
        <f aca="false">IF(Transações!E358&lt;&gt;"",Transações!E358,"")</f>
        <v/>
      </c>
      <c r="F358" s="12" t="str">
        <f aca="false">IF(C358="Compra",D358*E358,IF(C358="Staking",D358*E358,""))</f>
        <v/>
      </c>
      <c r="G358" s="12" t="str">
        <f aca="false">IF(C358="Venda",IF(COUNTIF(A$3:A357,A358)&gt;0,(E358-SUMPRODUCT((A$3:A357=A358)*(C$3:C357="Compra")*F$3:F357)/IF(SUMPRODUCT((A$3:A357=A358)*(C$3:C357="Compra")*D$3:D357)=0,1,SUMPRODUCT((A$3:A357=A358)*(C$3:C357="Compra")*D$3:D357)))*D358,0),"")</f>
        <v/>
      </c>
      <c r="H358" s="12" t="str">
        <f aca="false">IF(C358="Venda",E358*D358,"")</f>
        <v/>
      </c>
    </row>
    <row r="359" customFormat="false" ht="15" hidden="false" customHeight="false" outlineLevel="0" collapsed="false">
      <c r="A359" s="14" t="str">
        <f aca="false">IF(Transações!C359&lt;&gt;"",Transações!C359,"")</f>
        <v/>
      </c>
      <c r="B359" s="14" t="str">
        <f aca="false">IF(Transações!A359&lt;&gt;"",Transações!A359,"")</f>
        <v/>
      </c>
      <c r="C359" s="14" t="str">
        <f aca="false">IF(Transações!B359&lt;&gt;"",Transações!B359,"")</f>
        <v/>
      </c>
      <c r="D359" s="15" t="str">
        <f aca="false">IF(Transações!D359&lt;&gt;"",Transações!D359,"")</f>
        <v/>
      </c>
      <c r="E359" s="16" t="str">
        <f aca="false">IF(Transações!E359&lt;&gt;"",Transações!E359,"")</f>
        <v/>
      </c>
      <c r="F359" s="7" t="str">
        <f aca="false">IF(C359="Compra",D359*E359,IF(C359="Staking",D359*E359,""))</f>
        <v/>
      </c>
      <c r="G359" s="7" t="str">
        <f aca="false">IF(C359="Venda",IF(COUNTIF(A$3:A358,A359)&gt;0,(E359-SUMPRODUCT((A$3:A358=A359)*(C$3:C358="Compra")*F$3:F358)/IF(SUMPRODUCT((A$3:A358=A359)*(C$3:C358="Compra")*D$3:D358)=0,1,SUMPRODUCT((A$3:A358=A359)*(C$3:C358="Compra")*D$3:D358)))*D359,0),"")</f>
        <v/>
      </c>
      <c r="H359" s="7" t="str">
        <f aca="false">IF(C359="Venda",E359*D359,"")</f>
        <v/>
      </c>
    </row>
    <row r="360" customFormat="false" ht="15" hidden="false" customHeight="false" outlineLevel="0" collapsed="false">
      <c r="A360" s="17" t="str">
        <f aca="false">IF(Transações!C360&lt;&gt;"",Transações!C360,"")</f>
        <v/>
      </c>
      <c r="B360" s="17" t="str">
        <f aca="false">IF(Transações!A360&lt;&gt;"",Transações!A360,"")</f>
        <v/>
      </c>
      <c r="C360" s="17" t="str">
        <f aca="false">IF(Transações!B360&lt;&gt;"",Transações!B360,"")</f>
        <v/>
      </c>
      <c r="D360" s="18" t="str">
        <f aca="false">IF(Transações!D360&lt;&gt;"",Transações!D360,"")</f>
        <v/>
      </c>
      <c r="E360" s="19" t="str">
        <f aca="false">IF(Transações!E360&lt;&gt;"",Transações!E360,"")</f>
        <v/>
      </c>
      <c r="F360" s="12" t="str">
        <f aca="false">IF(C360="Compra",D360*E360,IF(C360="Staking",D360*E360,""))</f>
        <v/>
      </c>
      <c r="G360" s="12" t="str">
        <f aca="false">IF(C360="Venda",IF(COUNTIF(A$3:A359,A360)&gt;0,(E360-SUMPRODUCT((A$3:A359=A360)*(C$3:C359="Compra")*F$3:F359)/IF(SUMPRODUCT((A$3:A359=A360)*(C$3:C359="Compra")*D$3:D359)=0,1,SUMPRODUCT((A$3:A359=A360)*(C$3:C359="Compra")*D$3:D359)))*D360,0),"")</f>
        <v/>
      </c>
      <c r="H360" s="12" t="str">
        <f aca="false">IF(C360="Venda",E360*D360,"")</f>
        <v/>
      </c>
    </row>
    <row r="361" customFormat="false" ht="15" hidden="false" customHeight="false" outlineLevel="0" collapsed="false">
      <c r="A361" s="14" t="str">
        <f aca="false">IF(Transações!C361&lt;&gt;"",Transações!C361,"")</f>
        <v/>
      </c>
      <c r="B361" s="14" t="str">
        <f aca="false">IF(Transações!A361&lt;&gt;"",Transações!A361,"")</f>
        <v/>
      </c>
      <c r="C361" s="14" t="str">
        <f aca="false">IF(Transações!B361&lt;&gt;"",Transações!B361,"")</f>
        <v/>
      </c>
      <c r="D361" s="15" t="str">
        <f aca="false">IF(Transações!D361&lt;&gt;"",Transações!D361,"")</f>
        <v/>
      </c>
      <c r="E361" s="16" t="str">
        <f aca="false">IF(Transações!E361&lt;&gt;"",Transações!E361,"")</f>
        <v/>
      </c>
      <c r="F361" s="7" t="str">
        <f aca="false">IF(C361="Compra",D361*E361,IF(C361="Staking",D361*E361,""))</f>
        <v/>
      </c>
      <c r="G361" s="7" t="str">
        <f aca="false">IF(C361="Venda",IF(COUNTIF(A$3:A360,A361)&gt;0,(E361-SUMPRODUCT((A$3:A360=A361)*(C$3:C360="Compra")*F$3:F360)/IF(SUMPRODUCT((A$3:A360=A361)*(C$3:C360="Compra")*D$3:D360)=0,1,SUMPRODUCT((A$3:A360=A361)*(C$3:C360="Compra")*D$3:D360)))*D361,0),"")</f>
        <v/>
      </c>
      <c r="H361" s="7" t="str">
        <f aca="false">IF(C361="Venda",E361*D361,"")</f>
        <v/>
      </c>
    </row>
    <row r="362" customFormat="false" ht="15" hidden="false" customHeight="false" outlineLevel="0" collapsed="false">
      <c r="A362" s="17" t="str">
        <f aca="false">IF(Transações!C362&lt;&gt;"",Transações!C362,"")</f>
        <v/>
      </c>
      <c r="B362" s="17" t="str">
        <f aca="false">IF(Transações!A362&lt;&gt;"",Transações!A362,"")</f>
        <v/>
      </c>
      <c r="C362" s="17" t="str">
        <f aca="false">IF(Transações!B362&lt;&gt;"",Transações!B362,"")</f>
        <v/>
      </c>
      <c r="D362" s="18" t="str">
        <f aca="false">IF(Transações!D362&lt;&gt;"",Transações!D362,"")</f>
        <v/>
      </c>
      <c r="E362" s="19" t="str">
        <f aca="false">IF(Transações!E362&lt;&gt;"",Transações!E362,"")</f>
        <v/>
      </c>
      <c r="F362" s="12" t="str">
        <f aca="false">IF(C362="Compra",D362*E362,IF(C362="Staking",D362*E362,""))</f>
        <v/>
      </c>
      <c r="G362" s="12" t="str">
        <f aca="false">IF(C362="Venda",IF(COUNTIF(A$3:A361,A362)&gt;0,(E362-SUMPRODUCT((A$3:A361=A362)*(C$3:C361="Compra")*F$3:F361)/IF(SUMPRODUCT((A$3:A361=A362)*(C$3:C361="Compra")*D$3:D361)=0,1,SUMPRODUCT((A$3:A361=A362)*(C$3:C361="Compra")*D$3:D361)))*D362,0),"")</f>
        <v/>
      </c>
      <c r="H362" s="12" t="str">
        <f aca="false">IF(C362="Venda",E362*D362,"")</f>
        <v/>
      </c>
    </row>
    <row r="363" customFormat="false" ht="15" hidden="false" customHeight="false" outlineLevel="0" collapsed="false">
      <c r="A363" s="14" t="str">
        <f aca="false">IF(Transações!C363&lt;&gt;"",Transações!C363,"")</f>
        <v/>
      </c>
      <c r="B363" s="14" t="str">
        <f aca="false">IF(Transações!A363&lt;&gt;"",Transações!A363,"")</f>
        <v/>
      </c>
      <c r="C363" s="14" t="str">
        <f aca="false">IF(Transações!B363&lt;&gt;"",Transações!B363,"")</f>
        <v/>
      </c>
      <c r="D363" s="15" t="str">
        <f aca="false">IF(Transações!D363&lt;&gt;"",Transações!D363,"")</f>
        <v/>
      </c>
      <c r="E363" s="16" t="str">
        <f aca="false">IF(Transações!E363&lt;&gt;"",Transações!E363,"")</f>
        <v/>
      </c>
      <c r="F363" s="7" t="str">
        <f aca="false">IF(C363="Compra",D363*E363,IF(C363="Staking",D363*E363,""))</f>
        <v/>
      </c>
      <c r="G363" s="7" t="str">
        <f aca="false">IF(C363="Venda",IF(COUNTIF(A$3:A362,A363)&gt;0,(E363-SUMPRODUCT((A$3:A362=A363)*(C$3:C362="Compra")*F$3:F362)/IF(SUMPRODUCT((A$3:A362=A363)*(C$3:C362="Compra")*D$3:D362)=0,1,SUMPRODUCT((A$3:A362=A363)*(C$3:C362="Compra")*D$3:D362)))*D363,0),"")</f>
        <v/>
      </c>
      <c r="H363" s="7" t="str">
        <f aca="false">IF(C363="Venda",E363*D363,"")</f>
        <v/>
      </c>
    </row>
    <row r="364" customFormat="false" ht="15" hidden="false" customHeight="false" outlineLevel="0" collapsed="false">
      <c r="A364" s="17" t="str">
        <f aca="false">IF(Transações!C364&lt;&gt;"",Transações!C364,"")</f>
        <v/>
      </c>
      <c r="B364" s="17" t="str">
        <f aca="false">IF(Transações!A364&lt;&gt;"",Transações!A364,"")</f>
        <v/>
      </c>
      <c r="C364" s="17" t="str">
        <f aca="false">IF(Transações!B364&lt;&gt;"",Transações!B364,"")</f>
        <v/>
      </c>
      <c r="D364" s="18" t="str">
        <f aca="false">IF(Transações!D364&lt;&gt;"",Transações!D364,"")</f>
        <v/>
      </c>
      <c r="E364" s="19" t="str">
        <f aca="false">IF(Transações!E364&lt;&gt;"",Transações!E364,"")</f>
        <v/>
      </c>
      <c r="F364" s="12" t="str">
        <f aca="false">IF(C364="Compra",D364*E364,IF(C364="Staking",D364*E364,""))</f>
        <v/>
      </c>
      <c r="G364" s="12" t="str">
        <f aca="false">IF(C364="Venda",IF(COUNTIF(A$3:A363,A364)&gt;0,(E364-SUMPRODUCT((A$3:A363=A364)*(C$3:C363="Compra")*F$3:F363)/IF(SUMPRODUCT((A$3:A363=A364)*(C$3:C363="Compra")*D$3:D363)=0,1,SUMPRODUCT((A$3:A363=A364)*(C$3:C363="Compra")*D$3:D363)))*D364,0),"")</f>
        <v/>
      </c>
      <c r="H364" s="12" t="str">
        <f aca="false">IF(C364="Venda",E364*D364,"")</f>
        <v/>
      </c>
    </row>
    <row r="365" customFormat="false" ht="15" hidden="false" customHeight="false" outlineLevel="0" collapsed="false">
      <c r="A365" s="14" t="str">
        <f aca="false">IF(Transações!C365&lt;&gt;"",Transações!C365,"")</f>
        <v/>
      </c>
      <c r="B365" s="14" t="str">
        <f aca="false">IF(Transações!A365&lt;&gt;"",Transações!A365,"")</f>
        <v/>
      </c>
      <c r="C365" s="14" t="str">
        <f aca="false">IF(Transações!B365&lt;&gt;"",Transações!B365,"")</f>
        <v/>
      </c>
      <c r="D365" s="15" t="str">
        <f aca="false">IF(Transações!D365&lt;&gt;"",Transações!D365,"")</f>
        <v/>
      </c>
      <c r="E365" s="16" t="str">
        <f aca="false">IF(Transações!E365&lt;&gt;"",Transações!E365,"")</f>
        <v/>
      </c>
      <c r="F365" s="7" t="str">
        <f aca="false">IF(C365="Compra",D365*E365,IF(C365="Staking",D365*E365,""))</f>
        <v/>
      </c>
      <c r="G365" s="7" t="str">
        <f aca="false">IF(C365="Venda",IF(COUNTIF(A$3:A364,A365)&gt;0,(E365-SUMPRODUCT((A$3:A364=A365)*(C$3:C364="Compra")*F$3:F364)/IF(SUMPRODUCT((A$3:A364=A365)*(C$3:C364="Compra")*D$3:D364)=0,1,SUMPRODUCT((A$3:A364=A365)*(C$3:C364="Compra")*D$3:D364)))*D365,0),"")</f>
        <v/>
      </c>
      <c r="H365" s="7" t="str">
        <f aca="false">IF(C365="Venda",E365*D365,"")</f>
        <v/>
      </c>
    </row>
    <row r="366" customFormat="false" ht="15" hidden="false" customHeight="false" outlineLevel="0" collapsed="false">
      <c r="A366" s="17" t="str">
        <f aca="false">IF(Transações!C366&lt;&gt;"",Transações!C366,"")</f>
        <v/>
      </c>
      <c r="B366" s="17" t="str">
        <f aca="false">IF(Transações!A366&lt;&gt;"",Transações!A366,"")</f>
        <v/>
      </c>
      <c r="C366" s="17" t="str">
        <f aca="false">IF(Transações!B366&lt;&gt;"",Transações!B366,"")</f>
        <v/>
      </c>
      <c r="D366" s="18" t="str">
        <f aca="false">IF(Transações!D366&lt;&gt;"",Transações!D366,"")</f>
        <v/>
      </c>
      <c r="E366" s="19" t="str">
        <f aca="false">IF(Transações!E366&lt;&gt;"",Transações!E366,"")</f>
        <v/>
      </c>
      <c r="F366" s="12" t="str">
        <f aca="false">IF(C366="Compra",D366*E366,IF(C366="Staking",D366*E366,""))</f>
        <v/>
      </c>
      <c r="G366" s="12" t="str">
        <f aca="false">IF(C366="Venda",IF(COUNTIF(A$3:A365,A366)&gt;0,(E366-SUMPRODUCT((A$3:A365=A366)*(C$3:C365="Compra")*F$3:F365)/IF(SUMPRODUCT((A$3:A365=A366)*(C$3:C365="Compra")*D$3:D365)=0,1,SUMPRODUCT((A$3:A365=A366)*(C$3:C365="Compra")*D$3:D365)))*D366,0),"")</f>
        <v/>
      </c>
      <c r="H366" s="12" t="str">
        <f aca="false">IF(C366="Venda",E366*D366,"")</f>
        <v/>
      </c>
    </row>
    <row r="367" customFormat="false" ht="15" hidden="false" customHeight="false" outlineLevel="0" collapsed="false">
      <c r="A367" s="14" t="str">
        <f aca="false">IF(Transações!C367&lt;&gt;"",Transações!C367,"")</f>
        <v/>
      </c>
      <c r="B367" s="14" t="str">
        <f aca="false">IF(Transações!A367&lt;&gt;"",Transações!A367,"")</f>
        <v/>
      </c>
      <c r="C367" s="14" t="str">
        <f aca="false">IF(Transações!B367&lt;&gt;"",Transações!B367,"")</f>
        <v/>
      </c>
      <c r="D367" s="15" t="str">
        <f aca="false">IF(Transações!D367&lt;&gt;"",Transações!D367,"")</f>
        <v/>
      </c>
      <c r="E367" s="16" t="str">
        <f aca="false">IF(Transações!E367&lt;&gt;"",Transações!E367,"")</f>
        <v/>
      </c>
      <c r="F367" s="7" t="str">
        <f aca="false">IF(C367="Compra",D367*E367,IF(C367="Staking",D367*E367,""))</f>
        <v/>
      </c>
      <c r="G367" s="7" t="str">
        <f aca="false">IF(C367="Venda",IF(COUNTIF(A$3:A366,A367)&gt;0,(E367-SUMPRODUCT((A$3:A366=A367)*(C$3:C366="Compra")*F$3:F366)/IF(SUMPRODUCT((A$3:A366=A367)*(C$3:C366="Compra")*D$3:D366)=0,1,SUMPRODUCT((A$3:A366=A367)*(C$3:C366="Compra")*D$3:D366)))*D367,0),"")</f>
        <v/>
      </c>
      <c r="H367" s="7" t="str">
        <f aca="false">IF(C367="Venda",E367*D367,"")</f>
        <v/>
      </c>
    </row>
    <row r="368" customFormat="false" ht="15" hidden="false" customHeight="false" outlineLevel="0" collapsed="false">
      <c r="A368" s="17" t="str">
        <f aca="false">IF(Transações!C368&lt;&gt;"",Transações!C368,"")</f>
        <v/>
      </c>
      <c r="B368" s="17" t="str">
        <f aca="false">IF(Transações!A368&lt;&gt;"",Transações!A368,"")</f>
        <v/>
      </c>
      <c r="C368" s="17" t="str">
        <f aca="false">IF(Transações!B368&lt;&gt;"",Transações!B368,"")</f>
        <v/>
      </c>
      <c r="D368" s="18" t="str">
        <f aca="false">IF(Transações!D368&lt;&gt;"",Transações!D368,"")</f>
        <v/>
      </c>
      <c r="E368" s="19" t="str">
        <f aca="false">IF(Transações!E368&lt;&gt;"",Transações!E368,"")</f>
        <v/>
      </c>
      <c r="F368" s="12" t="str">
        <f aca="false">IF(C368="Compra",D368*E368,IF(C368="Staking",D368*E368,""))</f>
        <v/>
      </c>
      <c r="G368" s="12" t="str">
        <f aca="false">IF(C368="Venda",IF(COUNTIF(A$3:A367,A368)&gt;0,(E368-SUMPRODUCT((A$3:A367=A368)*(C$3:C367="Compra")*F$3:F367)/IF(SUMPRODUCT((A$3:A367=A368)*(C$3:C367="Compra")*D$3:D367)=0,1,SUMPRODUCT((A$3:A367=A368)*(C$3:C367="Compra")*D$3:D367)))*D368,0),"")</f>
        <v/>
      </c>
      <c r="H368" s="12" t="str">
        <f aca="false">IF(C368="Venda",E368*D368,"")</f>
        <v/>
      </c>
    </row>
    <row r="369" customFormat="false" ht="15" hidden="false" customHeight="false" outlineLevel="0" collapsed="false">
      <c r="A369" s="14" t="str">
        <f aca="false">IF(Transações!C369&lt;&gt;"",Transações!C369,"")</f>
        <v/>
      </c>
      <c r="B369" s="14" t="str">
        <f aca="false">IF(Transações!A369&lt;&gt;"",Transações!A369,"")</f>
        <v/>
      </c>
      <c r="C369" s="14" t="str">
        <f aca="false">IF(Transações!B369&lt;&gt;"",Transações!B369,"")</f>
        <v/>
      </c>
      <c r="D369" s="15" t="str">
        <f aca="false">IF(Transações!D369&lt;&gt;"",Transações!D369,"")</f>
        <v/>
      </c>
      <c r="E369" s="16" t="str">
        <f aca="false">IF(Transações!E369&lt;&gt;"",Transações!E369,"")</f>
        <v/>
      </c>
      <c r="F369" s="7" t="str">
        <f aca="false">IF(C369="Compra",D369*E369,IF(C369="Staking",D369*E369,""))</f>
        <v/>
      </c>
      <c r="G369" s="7" t="str">
        <f aca="false">IF(C369="Venda",IF(COUNTIF(A$3:A368,A369)&gt;0,(E369-SUMPRODUCT((A$3:A368=A369)*(C$3:C368="Compra")*F$3:F368)/IF(SUMPRODUCT((A$3:A368=A369)*(C$3:C368="Compra")*D$3:D368)=0,1,SUMPRODUCT((A$3:A368=A369)*(C$3:C368="Compra")*D$3:D368)))*D369,0),"")</f>
        <v/>
      </c>
      <c r="H369" s="7" t="str">
        <f aca="false">IF(C369="Venda",E369*D369,"")</f>
        <v/>
      </c>
    </row>
    <row r="370" customFormat="false" ht="15" hidden="false" customHeight="false" outlineLevel="0" collapsed="false">
      <c r="A370" s="17" t="str">
        <f aca="false">IF(Transações!C370&lt;&gt;"",Transações!C370,"")</f>
        <v/>
      </c>
      <c r="B370" s="17" t="str">
        <f aca="false">IF(Transações!A370&lt;&gt;"",Transações!A370,"")</f>
        <v/>
      </c>
      <c r="C370" s="17" t="str">
        <f aca="false">IF(Transações!B370&lt;&gt;"",Transações!B370,"")</f>
        <v/>
      </c>
      <c r="D370" s="18" t="str">
        <f aca="false">IF(Transações!D370&lt;&gt;"",Transações!D370,"")</f>
        <v/>
      </c>
      <c r="E370" s="19" t="str">
        <f aca="false">IF(Transações!E370&lt;&gt;"",Transações!E370,"")</f>
        <v/>
      </c>
      <c r="F370" s="12" t="str">
        <f aca="false">IF(C370="Compra",D370*E370,IF(C370="Staking",D370*E370,""))</f>
        <v/>
      </c>
      <c r="G370" s="12" t="str">
        <f aca="false">IF(C370="Venda",IF(COUNTIF(A$3:A369,A370)&gt;0,(E370-SUMPRODUCT((A$3:A369=A370)*(C$3:C369="Compra")*F$3:F369)/IF(SUMPRODUCT((A$3:A369=A370)*(C$3:C369="Compra")*D$3:D369)=0,1,SUMPRODUCT((A$3:A369=A370)*(C$3:C369="Compra")*D$3:D369)))*D370,0),"")</f>
        <v/>
      </c>
      <c r="H370" s="12" t="str">
        <f aca="false">IF(C370="Venda",E370*D370,"")</f>
        <v/>
      </c>
    </row>
    <row r="371" customFormat="false" ht="15" hidden="false" customHeight="false" outlineLevel="0" collapsed="false">
      <c r="A371" s="14" t="str">
        <f aca="false">IF(Transações!C371&lt;&gt;"",Transações!C371,"")</f>
        <v/>
      </c>
      <c r="B371" s="14" t="str">
        <f aca="false">IF(Transações!A371&lt;&gt;"",Transações!A371,"")</f>
        <v/>
      </c>
      <c r="C371" s="14" t="str">
        <f aca="false">IF(Transações!B371&lt;&gt;"",Transações!B371,"")</f>
        <v/>
      </c>
      <c r="D371" s="15" t="str">
        <f aca="false">IF(Transações!D371&lt;&gt;"",Transações!D371,"")</f>
        <v/>
      </c>
      <c r="E371" s="16" t="str">
        <f aca="false">IF(Transações!E371&lt;&gt;"",Transações!E371,"")</f>
        <v/>
      </c>
      <c r="F371" s="7" t="str">
        <f aca="false">IF(C371="Compra",D371*E371,IF(C371="Staking",D371*E371,""))</f>
        <v/>
      </c>
      <c r="G371" s="7" t="str">
        <f aca="false">IF(C371="Venda",IF(COUNTIF(A$3:A370,A371)&gt;0,(E371-SUMPRODUCT((A$3:A370=A371)*(C$3:C370="Compra")*F$3:F370)/IF(SUMPRODUCT((A$3:A370=A371)*(C$3:C370="Compra")*D$3:D370)=0,1,SUMPRODUCT((A$3:A370=A371)*(C$3:C370="Compra")*D$3:D370)))*D371,0),"")</f>
        <v/>
      </c>
      <c r="H371" s="7" t="str">
        <f aca="false">IF(C371="Venda",E371*D371,"")</f>
        <v/>
      </c>
    </row>
    <row r="372" customFormat="false" ht="15" hidden="false" customHeight="false" outlineLevel="0" collapsed="false">
      <c r="A372" s="17" t="str">
        <f aca="false">IF(Transações!C372&lt;&gt;"",Transações!C372,"")</f>
        <v/>
      </c>
      <c r="B372" s="17" t="str">
        <f aca="false">IF(Transações!A372&lt;&gt;"",Transações!A372,"")</f>
        <v/>
      </c>
      <c r="C372" s="17" t="str">
        <f aca="false">IF(Transações!B372&lt;&gt;"",Transações!B372,"")</f>
        <v/>
      </c>
      <c r="D372" s="18" t="str">
        <f aca="false">IF(Transações!D372&lt;&gt;"",Transações!D372,"")</f>
        <v/>
      </c>
      <c r="E372" s="19" t="str">
        <f aca="false">IF(Transações!E372&lt;&gt;"",Transações!E372,"")</f>
        <v/>
      </c>
      <c r="F372" s="12" t="str">
        <f aca="false">IF(C372="Compra",D372*E372,IF(C372="Staking",D372*E372,""))</f>
        <v/>
      </c>
      <c r="G372" s="12" t="str">
        <f aca="false">IF(C372="Venda",IF(COUNTIF(A$3:A371,A372)&gt;0,(E372-SUMPRODUCT((A$3:A371=A372)*(C$3:C371="Compra")*F$3:F371)/IF(SUMPRODUCT((A$3:A371=A372)*(C$3:C371="Compra")*D$3:D371)=0,1,SUMPRODUCT((A$3:A371=A372)*(C$3:C371="Compra")*D$3:D371)))*D372,0),"")</f>
        <v/>
      </c>
      <c r="H372" s="12" t="str">
        <f aca="false">IF(C372="Venda",E372*D372,"")</f>
        <v/>
      </c>
    </row>
    <row r="373" customFormat="false" ht="15" hidden="false" customHeight="false" outlineLevel="0" collapsed="false">
      <c r="A373" s="14" t="str">
        <f aca="false">IF(Transações!C373&lt;&gt;"",Transações!C373,"")</f>
        <v/>
      </c>
      <c r="B373" s="14" t="str">
        <f aca="false">IF(Transações!A373&lt;&gt;"",Transações!A373,"")</f>
        <v/>
      </c>
      <c r="C373" s="14" t="str">
        <f aca="false">IF(Transações!B373&lt;&gt;"",Transações!B373,"")</f>
        <v/>
      </c>
      <c r="D373" s="15" t="str">
        <f aca="false">IF(Transações!D373&lt;&gt;"",Transações!D373,"")</f>
        <v/>
      </c>
      <c r="E373" s="16" t="str">
        <f aca="false">IF(Transações!E373&lt;&gt;"",Transações!E373,"")</f>
        <v/>
      </c>
      <c r="F373" s="7" t="str">
        <f aca="false">IF(C373="Compra",D373*E373,IF(C373="Staking",D373*E373,""))</f>
        <v/>
      </c>
      <c r="G373" s="7" t="str">
        <f aca="false">IF(C373="Venda",IF(COUNTIF(A$3:A372,A373)&gt;0,(E373-SUMPRODUCT((A$3:A372=A373)*(C$3:C372="Compra")*F$3:F372)/IF(SUMPRODUCT((A$3:A372=A373)*(C$3:C372="Compra")*D$3:D372)=0,1,SUMPRODUCT((A$3:A372=A373)*(C$3:C372="Compra")*D$3:D372)))*D373,0),"")</f>
        <v/>
      </c>
      <c r="H373" s="7" t="str">
        <f aca="false">IF(C373="Venda",E373*D373,"")</f>
        <v/>
      </c>
    </row>
    <row r="374" customFormat="false" ht="15" hidden="false" customHeight="false" outlineLevel="0" collapsed="false">
      <c r="A374" s="17" t="str">
        <f aca="false">IF(Transações!C374&lt;&gt;"",Transações!C374,"")</f>
        <v/>
      </c>
      <c r="B374" s="17" t="str">
        <f aca="false">IF(Transações!A374&lt;&gt;"",Transações!A374,"")</f>
        <v/>
      </c>
      <c r="C374" s="17" t="str">
        <f aca="false">IF(Transações!B374&lt;&gt;"",Transações!B374,"")</f>
        <v/>
      </c>
      <c r="D374" s="18" t="str">
        <f aca="false">IF(Transações!D374&lt;&gt;"",Transações!D374,"")</f>
        <v/>
      </c>
      <c r="E374" s="19" t="str">
        <f aca="false">IF(Transações!E374&lt;&gt;"",Transações!E374,"")</f>
        <v/>
      </c>
      <c r="F374" s="12" t="str">
        <f aca="false">IF(C374="Compra",D374*E374,IF(C374="Staking",D374*E374,""))</f>
        <v/>
      </c>
      <c r="G374" s="12" t="str">
        <f aca="false">IF(C374="Venda",IF(COUNTIF(A$3:A373,A374)&gt;0,(E374-SUMPRODUCT((A$3:A373=A374)*(C$3:C373="Compra")*F$3:F373)/IF(SUMPRODUCT((A$3:A373=A374)*(C$3:C373="Compra")*D$3:D373)=0,1,SUMPRODUCT((A$3:A373=A374)*(C$3:C373="Compra")*D$3:D373)))*D374,0),"")</f>
        <v/>
      </c>
      <c r="H374" s="12" t="str">
        <f aca="false">IF(C374="Venda",E374*D374,"")</f>
        <v/>
      </c>
    </row>
    <row r="375" customFormat="false" ht="15" hidden="false" customHeight="false" outlineLevel="0" collapsed="false">
      <c r="A375" s="14" t="str">
        <f aca="false">IF(Transações!C375&lt;&gt;"",Transações!C375,"")</f>
        <v/>
      </c>
      <c r="B375" s="14" t="str">
        <f aca="false">IF(Transações!A375&lt;&gt;"",Transações!A375,"")</f>
        <v/>
      </c>
      <c r="C375" s="14" t="str">
        <f aca="false">IF(Transações!B375&lt;&gt;"",Transações!B375,"")</f>
        <v/>
      </c>
      <c r="D375" s="15" t="str">
        <f aca="false">IF(Transações!D375&lt;&gt;"",Transações!D375,"")</f>
        <v/>
      </c>
      <c r="E375" s="16" t="str">
        <f aca="false">IF(Transações!E375&lt;&gt;"",Transações!E375,"")</f>
        <v/>
      </c>
      <c r="F375" s="7" t="str">
        <f aca="false">IF(C375="Compra",D375*E375,IF(C375="Staking",D375*E375,""))</f>
        <v/>
      </c>
      <c r="G375" s="7" t="str">
        <f aca="false">IF(C375="Venda",IF(COUNTIF(A$3:A374,A375)&gt;0,(E375-SUMPRODUCT((A$3:A374=A375)*(C$3:C374="Compra")*F$3:F374)/IF(SUMPRODUCT((A$3:A374=A375)*(C$3:C374="Compra")*D$3:D374)=0,1,SUMPRODUCT((A$3:A374=A375)*(C$3:C374="Compra")*D$3:D374)))*D375,0),"")</f>
        <v/>
      </c>
      <c r="H375" s="7" t="str">
        <f aca="false">IF(C375="Venda",E375*D375,"")</f>
        <v/>
      </c>
    </row>
    <row r="376" customFormat="false" ht="15" hidden="false" customHeight="false" outlineLevel="0" collapsed="false">
      <c r="A376" s="17" t="str">
        <f aca="false">IF(Transações!C376&lt;&gt;"",Transações!C376,"")</f>
        <v/>
      </c>
      <c r="B376" s="17" t="str">
        <f aca="false">IF(Transações!A376&lt;&gt;"",Transações!A376,"")</f>
        <v/>
      </c>
      <c r="C376" s="17" t="str">
        <f aca="false">IF(Transações!B376&lt;&gt;"",Transações!B376,"")</f>
        <v/>
      </c>
      <c r="D376" s="18" t="str">
        <f aca="false">IF(Transações!D376&lt;&gt;"",Transações!D376,"")</f>
        <v/>
      </c>
      <c r="E376" s="19" t="str">
        <f aca="false">IF(Transações!E376&lt;&gt;"",Transações!E376,"")</f>
        <v/>
      </c>
      <c r="F376" s="12" t="str">
        <f aca="false">IF(C376="Compra",D376*E376,IF(C376="Staking",D376*E376,""))</f>
        <v/>
      </c>
      <c r="G376" s="12" t="str">
        <f aca="false">IF(C376="Venda",IF(COUNTIF(A$3:A375,A376)&gt;0,(E376-SUMPRODUCT((A$3:A375=A376)*(C$3:C375="Compra")*F$3:F375)/IF(SUMPRODUCT((A$3:A375=A376)*(C$3:C375="Compra")*D$3:D375)=0,1,SUMPRODUCT((A$3:A375=A376)*(C$3:C375="Compra")*D$3:D375)))*D376,0),"")</f>
        <v/>
      </c>
      <c r="H376" s="12" t="str">
        <f aca="false">IF(C376="Venda",E376*D376,"")</f>
        <v/>
      </c>
    </row>
    <row r="377" customFormat="false" ht="15" hidden="false" customHeight="false" outlineLevel="0" collapsed="false">
      <c r="A377" s="14" t="str">
        <f aca="false">IF(Transações!C377&lt;&gt;"",Transações!C377,"")</f>
        <v/>
      </c>
      <c r="B377" s="14" t="str">
        <f aca="false">IF(Transações!A377&lt;&gt;"",Transações!A377,"")</f>
        <v/>
      </c>
      <c r="C377" s="14" t="str">
        <f aca="false">IF(Transações!B377&lt;&gt;"",Transações!B377,"")</f>
        <v/>
      </c>
      <c r="D377" s="15" t="str">
        <f aca="false">IF(Transações!D377&lt;&gt;"",Transações!D377,"")</f>
        <v/>
      </c>
      <c r="E377" s="16" t="str">
        <f aca="false">IF(Transações!E377&lt;&gt;"",Transações!E377,"")</f>
        <v/>
      </c>
      <c r="F377" s="7" t="str">
        <f aca="false">IF(C377="Compra",D377*E377,IF(C377="Staking",D377*E377,""))</f>
        <v/>
      </c>
      <c r="G377" s="7" t="str">
        <f aca="false">IF(C377="Venda",IF(COUNTIF(A$3:A376,A377)&gt;0,(E377-SUMPRODUCT((A$3:A376=A377)*(C$3:C376="Compra")*F$3:F376)/IF(SUMPRODUCT((A$3:A376=A377)*(C$3:C376="Compra")*D$3:D376)=0,1,SUMPRODUCT((A$3:A376=A377)*(C$3:C376="Compra")*D$3:D376)))*D377,0),"")</f>
        <v/>
      </c>
      <c r="H377" s="7" t="str">
        <f aca="false">IF(C377="Venda",E377*D377,"")</f>
        <v/>
      </c>
    </row>
    <row r="378" customFormat="false" ht="15" hidden="false" customHeight="false" outlineLevel="0" collapsed="false">
      <c r="A378" s="17" t="str">
        <f aca="false">IF(Transações!C378&lt;&gt;"",Transações!C378,"")</f>
        <v/>
      </c>
      <c r="B378" s="17" t="str">
        <f aca="false">IF(Transações!A378&lt;&gt;"",Transações!A378,"")</f>
        <v/>
      </c>
      <c r="C378" s="17" t="str">
        <f aca="false">IF(Transações!B378&lt;&gt;"",Transações!B378,"")</f>
        <v/>
      </c>
      <c r="D378" s="18" t="str">
        <f aca="false">IF(Transações!D378&lt;&gt;"",Transações!D378,"")</f>
        <v/>
      </c>
      <c r="E378" s="19" t="str">
        <f aca="false">IF(Transações!E378&lt;&gt;"",Transações!E378,"")</f>
        <v/>
      </c>
      <c r="F378" s="12" t="str">
        <f aca="false">IF(C378="Compra",D378*E378,IF(C378="Staking",D378*E378,""))</f>
        <v/>
      </c>
      <c r="G378" s="12" t="str">
        <f aca="false">IF(C378="Venda",IF(COUNTIF(A$3:A377,A378)&gt;0,(E378-SUMPRODUCT((A$3:A377=A378)*(C$3:C377="Compra")*F$3:F377)/IF(SUMPRODUCT((A$3:A377=A378)*(C$3:C377="Compra")*D$3:D377)=0,1,SUMPRODUCT((A$3:A377=A378)*(C$3:C377="Compra")*D$3:D377)))*D378,0),"")</f>
        <v/>
      </c>
      <c r="H378" s="12" t="str">
        <f aca="false">IF(C378="Venda",E378*D378,"")</f>
        <v/>
      </c>
    </row>
    <row r="379" customFormat="false" ht="15" hidden="false" customHeight="false" outlineLevel="0" collapsed="false">
      <c r="A379" s="14" t="str">
        <f aca="false">IF(Transações!C379&lt;&gt;"",Transações!C379,"")</f>
        <v/>
      </c>
      <c r="B379" s="14" t="str">
        <f aca="false">IF(Transações!A379&lt;&gt;"",Transações!A379,"")</f>
        <v/>
      </c>
      <c r="C379" s="14" t="str">
        <f aca="false">IF(Transações!B379&lt;&gt;"",Transações!B379,"")</f>
        <v/>
      </c>
      <c r="D379" s="15" t="str">
        <f aca="false">IF(Transações!D379&lt;&gt;"",Transações!D379,"")</f>
        <v/>
      </c>
      <c r="E379" s="16" t="str">
        <f aca="false">IF(Transações!E379&lt;&gt;"",Transações!E379,"")</f>
        <v/>
      </c>
      <c r="F379" s="7" t="str">
        <f aca="false">IF(C379="Compra",D379*E379,IF(C379="Staking",D379*E379,""))</f>
        <v/>
      </c>
      <c r="G379" s="7" t="str">
        <f aca="false">IF(C379="Venda",IF(COUNTIF(A$3:A378,A379)&gt;0,(E379-SUMPRODUCT((A$3:A378=A379)*(C$3:C378="Compra")*F$3:F378)/IF(SUMPRODUCT((A$3:A378=A379)*(C$3:C378="Compra")*D$3:D378)=0,1,SUMPRODUCT((A$3:A378=A379)*(C$3:C378="Compra")*D$3:D378)))*D379,0),"")</f>
        <v/>
      </c>
      <c r="H379" s="7" t="str">
        <f aca="false">IF(C379="Venda",E379*D379,"")</f>
        <v/>
      </c>
    </row>
    <row r="380" customFormat="false" ht="15" hidden="false" customHeight="false" outlineLevel="0" collapsed="false">
      <c r="A380" s="17" t="str">
        <f aca="false">IF(Transações!C380&lt;&gt;"",Transações!C380,"")</f>
        <v/>
      </c>
      <c r="B380" s="17" t="str">
        <f aca="false">IF(Transações!A380&lt;&gt;"",Transações!A380,"")</f>
        <v/>
      </c>
      <c r="C380" s="17" t="str">
        <f aca="false">IF(Transações!B380&lt;&gt;"",Transações!B380,"")</f>
        <v/>
      </c>
      <c r="D380" s="18" t="str">
        <f aca="false">IF(Transações!D380&lt;&gt;"",Transações!D380,"")</f>
        <v/>
      </c>
      <c r="E380" s="19" t="str">
        <f aca="false">IF(Transações!E380&lt;&gt;"",Transações!E380,"")</f>
        <v/>
      </c>
      <c r="F380" s="12" t="str">
        <f aca="false">IF(C380="Compra",D380*E380,IF(C380="Staking",D380*E380,""))</f>
        <v/>
      </c>
      <c r="G380" s="12" t="str">
        <f aca="false">IF(C380="Venda",IF(COUNTIF(A$3:A379,A380)&gt;0,(E380-SUMPRODUCT((A$3:A379=A380)*(C$3:C379="Compra")*F$3:F379)/IF(SUMPRODUCT((A$3:A379=A380)*(C$3:C379="Compra")*D$3:D379)=0,1,SUMPRODUCT((A$3:A379=A380)*(C$3:C379="Compra")*D$3:D379)))*D380,0),"")</f>
        <v/>
      </c>
      <c r="H380" s="12" t="str">
        <f aca="false">IF(C380="Venda",E380*D380,"")</f>
        <v/>
      </c>
    </row>
    <row r="381" customFormat="false" ht="15" hidden="false" customHeight="false" outlineLevel="0" collapsed="false">
      <c r="A381" s="14" t="str">
        <f aca="false">IF(Transações!C381&lt;&gt;"",Transações!C381,"")</f>
        <v/>
      </c>
      <c r="B381" s="14" t="str">
        <f aca="false">IF(Transações!A381&lt;&gt;"",Transações!A381,"")</f>
        <v/>
      </c>
      <c r="C381" s="14" t="str">
        <f aca="false">IF(Transações!B381&lt;&gt;"",Transações!B381,"")</f>
        <v/>
      </c>
      <c r="D381" s="15" t="str">
        <f aca="false">IF(Transações!D381&lt;&gt;"",Transações!D381,"")</f>
        <v/>
      </c>
      <c r="E381" s="16" t="str">
        <f aca="false">IF(Transações!E381&lt;&gt;"",Transações!E381,"")</f>
        <v/>
      </c>
      <c r="F381" s="7" t="str">
        <f aca="false">IF(C381="Compra",D381*E381,IF(C381="Staking",D381*E381,""))</f>
        <v/>
      </c>
      <c r="G381" s="7" t="str">
        <f aca="false">IF(C381="Venda",IF(COUNTIF(A$3:A380,A381)&gt;0,(E381-SUMPRODUCT((A$3:A380=A381)*(C$3:C380="Compra")*F$3:F380)/IF(SUMPRODUCT((A$3:A380=A381)*(C$3:C380="Compra")*D$3:D380)=0,1,SUMPRODUCT((A$3:A380=A381)*(C$3:C380="Compra")*D$3:D380)))*D381,0),"")</f>
        <v/>
      </c>
      <c r="H381" s="7" t="str">
        <f aca="false">IF(C381="Venda",E381*D381,"")</f>
        <v/>
      </c>
    </row>
    <row r="382" customFormat="false" ht="15" hidden="false" customHeight="false" outlineLevel="0" collapsed="false">
      <c r="A382" s="17" t="str">
        <f aca="false">IF(Transações!C382&lt;&gt;"",Transações!C382,"")</f>
        <v/>
      </c>
      <c r="B382" s="17" t="str">
        <f aca="false">IF(Transações!A382&lt;&gt;"",Transações!A382,"")</f>
        <v/>
      </c>
      <c r="C382" s="17" t="str">
        <f aca="false">IF(Transações!B382&lt;&gt;"",Transações!B382,"")</f>
        <v/>
      </c>
      <c r="D382" s="18" t="str">
        <f aca="false">IF(Transações!D382&lt;&gt;"",Transações!D382,"")</f>
        <v/>
      </c>
      <c r="E382" s="19" t="str">
        <f aca="false">IF(Transações!E382&lt;&gt;"",Transações!E382,"")</f>
        <v/>
      </c>
      <c r="F382" s="12" t="str">
        <f aca="false">IF(C382="Compra",D382*E382,IF(C382="Staking",D382*E382,""))</f>
        <v/>
      </c>
      <c r="G382" s="12" t="str">
        <f aca="false">IF(C382="Venda",IF(COUNTIF(A$3:A381,A382)&gt;0,(E382-SUMPRODUCT((A$3:A381=A382)*(C$3:C381="Compra")*F$3:F381)/IF(SUMPRODUCT((A$3:A381=A382)*(C$3:C381="Compra")*D$3:D381)=0,1,SUMPRODUCT((A$3:A381=A382)*(C$3:C381="Compra")*D$3:D381)))*D382,0),"")</f>
        <v/>
      </c>
      <c r="H382" s="12" t="str">
        <f aca="false">IF(C382="Venda",E382*D382,"")</f>
        <v/>
      </c>
    </row>
    <row r="383" customFormat="false" ht="15" hidden="false" customHeight="false" outlineLevel="0" collapsed="false">
      <c r="A383" s="14" t="str">
        <f aca="false">IF(Transações!C383&lt;&gt;"",Transações!C383,"")</f>
        <v/>
      </c>
      <c r="B383" s="14" t="str">
        <f aca="false">IF(Transações!A383&lt;&gt;"",Transações!A383,"")</f>
        <v/>
      </c>
      <c r="C383" s="14" t="str">
        <f aca="false">IF(Transações!B383&lt;&gt;"",Transações!B383,"")</f>
        <v/>
      </c>
      <c r="D383" s="15" t="str">
        <f aca="false">IF(Transações!D383&lt;&gt;"",Transações!D383,"")</f>
        <v/>
      </c>
      <c r="E383" s="16" t="str">
        <f aca="false">IF(Transações!E383&lt;&gt;"",Transações!E383,"")</f>
        <v/>
      </c>
      <c r="F383" s="7" t="str">
        <f aca="false">IF(C383="Compra",D383*E383,IF(C383="Staking",D383*E383,""))</f>
        <v/>
      </c>
      <c r="G383" s="7" t="str">
        <f aca="false">IF(C383="Venda",IF(COUNTIF(A$3:A382,A383)&gt;0,(E383-SUMPRODUCT((A$3:A382=A383)*(C$3:C382="Compra")*F$3:F382)/IF(SUMPRODUCT((A$3:A382=A383)*(C$3:C382="Compra")*D$3:D382)=0,1,SUMPRODUCT((A$3:A382=A383)*(C$3:C382="Compra")*D$3:D382)))*D383,0),"")</f>
        <v/>
      </c>
      <c r="H383" s="7" t="str">
        <f aca="false">IF(C383="Venda",E383*D383,"")</f>
        <v/>
      </c>
    </row>
    <row r="384" customFormat="false" ht="15" hidden="false" customHeight="false" outlineLevel="0" collapsed="false">
      <c r="A384" s="17" t="str">
        <f aca="false">IF(Transações!C384&lt;&gt;"",Transações!C384,"")</f>
        <v/>
      </c>
      <c r="B384" s="17" t="str">
        <f aca="false">IF(Transações!A384&lt;&gt;"",Transações!A384,"")</f>
        <v/>
      </c>
      <c r="C384" s="17" t="str">
        <f aca="false">IF(Transações!B384&lt;&gt;"",Transações!B384,"")</f>
        <v/>
      </c>
      <c r="D384" s="18" t="str">
        <f aca="false">IF(Transações!D384&lt;&gt;"",Transações!D384,"")</f>
        <v/>
      </c>
      <c r="E384" s="19" t="str">
        <f aca="false">IF(Transações!E384&lt;&gt;"",Transações!E384,"")</f>
        <v/>
      </c>
      <c r="F384" s="12" t="str">
        <f aca="false">IF(C384="Compra",D384*E384,IF(C384="Staking",D384*E384,""))</f>
        <v/>
      </c>
      <c r="G384" s="12" t="str">
        <f aca="false">IF(C384="Venda",IF(COUNTIF(A$3:A383,A384)&gt;0,(E384-SUMPRODUCT((A$3:A383=A384)*(C$3:C383="Compra")*F$3:F383)/IF(SUMPRODUCT((A$3:A383=A384)*(C$3:C383="Compra")*D$3:D383)=0,1,SUMPRODUCT((A$3:A383=A384)*(C$3:C383="Compra")*D$3:D383)))*D384,0),"")</f>
        <v/>
      </c>
      <c r="H384" s="12" t="str">
        <f aca="false">IF(C384="Venda",E384*D384,"")</f>
        <v/>
      </c>
    </row>
    <row r="385" customFormat="false" ht="15" hidden="false" customHeight="false" outlineLevel="0" collapsed="false">
      <c r="A385" s="14" t="str">
        <f aca="false">IF(Transações!C385&lt;&gt;"",Transações!C385,"")</f>
        <v/>
      </c>
      <c r="B385" s="14" t="str">
        <f aca="false">IF(Transações!A385&lt;&gt;"",Transações!A385,"")</f>
        <v/>
      </c>
      <c r="C385" s="14" t="str">
        <f aca="false">IF(Transações!B385&lt;&gt;"",Transações!B385,"")</f>
        <v/>
      </c>
      <c r="D385" s="15" t="str">
        <f aca="false">IF(Transações!D385&lt;&gt;"",Transações!D385,"")</f>
        <v/>
      </c>
      <c r="E385" s="16" t="str">
        <f aca="false">IF(Transações!E385&lt;&gt;"",Transações!E385,"")</f>
        <v/>
      </c>
      <c r="F385" s="7" t="str">
        <f aca="false">IF(C385="Compra",D385*E385,IF(C385="Staking",D385*E385,""))</f>
        <v/>
      </c>
      <c r="G385" s="7" t="str">
        <f aca="false">IF(C385="Venda",IF(COUNTIF(A$3:A384,A385)&gt;0,(E385-SUMPRODUCT((A$3:A384=A385)*(C$3:C384="Compra")*F$3:F384)/IF(SUMPRODUCT((A$3:A384=A385)*(C$3:C384="Compra")*D$3:D384)=0,1,SUMPRODUCT((A$3:A384=A385)*(C$3:C384="Compra")*D$3:D384)))*D385,0),"")</f>
        <v/>
      </c>
      <c r="H385" s="7" t="str">
        <f aca="false">IF(C385="Venda",E385*D385,"")</f>
        <v/>
      </c>
    </row>
    <row r="386" customFormat="false" ht="15" hidden="false" customHeight="false" outlineLevel="0" collapsed="false">
      <c r="A386" s="17" t="str">
        <f aca="false">IF(Transações!C386&lt;&gt;"",Transações!C386,"")</f>
        <v/>
      </c>
      <c r="B386" s="17" t="str">
        <f aca="false">IF(Transações!A386&lt;&gt;"",Transações!A386,"")</f>
        <v/>
      </c>
      <c r="C386" s="17" t="str">
        <f aca="false">IF(Transações!B386&lt;&gt;"",Transações!B386,"")</f>
        <v/>
      </c>
      <c r="D386" s="18" t="str">
        <f aca="false">IF(Transações!D386&lt;&gt;"",Transações!D386,"")</f>
        <v/>
      </c>
      <c r="E386" s="19" t="str">
        <f aca="false">IF(Transações!E386&lt;&gt;"",Transações!E386,"")</f>
        <v/>
      </c>
      <c r="F386" s="12" t="str">
        <f aca="false">IF(C386="Compra",D386*E386,IF(C386="Staking",D386*E386,""))</f>
        <v/>
      </c>
      <c r="G386" s="12" t="str">
        <f aca="false">IF(C386="Venda",IF(COUNTIF(A$3:A385,A386)&gt;0,(E386-SUMPRODUCT((A$3:A385=A386)*(C$3:C385="Compra")*F$3:F385)/IF(SUMPRODUCT((A$3:A385=A386)*(C$3:C385="Compra")*D$3:D385)=0,1,SUMPRODUCT((A$3:A385=A386)*(C$3:C385="Compra")*D$3:D385)))*D386,0),"")</f>
        <v/>
      </c>
      <c r="H386" s="12" t="str">
        <f aca="false">IF(C386="Venda",E386*D386,"")</f>
        <v/>
      </c>
    </row>
    <row r="387" customFormat="false" ht="15" hidden="false" customHeight="false" outlineLevel="0" collapsed="false">
      <c r="A387" s="14" t="str">
        <f aca="false">IF(Transações!C387&lt;&gt;"",Transações!C387,"")</f>
        <v/>
      </c>
      <c r="B387" s="14" t="str">
        <f aca="false">IF(Transações!A387&lt;&gt;"",Transações!A387,"")</f>
        <v/>
      </c>
      <c r="C387" s="14" t="str">
        <f aca="false">IF(Transações!B387&lt;&gt;"",Transações!B387,"")</f>
        <v/>
      </c>
      <c r="D387" s="15" t="str">
        <f aca="false">IF(Transações!D387&lt;&gt;"",Transações!D387,"")</f>
        <v/>
      </c>
      <c r="E387" s="16" t="str">
        <f aca="false">IF(Transações!E387&lt;&gt;"",Transações!E387,"")</f>
        <v/>
      </c>
      <c r="F387" s="7" t="str">
        <f aca="false">IF(C387="Compra",D387*E387,IF(C387="Staking",D387*E387,""))</f>
        <v/>
      </c>
      <c r="G387" s="7" t="str">
        <f aca="false">IF(C387="Venda",IF(COUNTIF(A$3:A386,A387)&gt;0,(E387-SUMPRODUCT((A$3:A386=A387)*(C$3:C386="Compra")*F$3:F386)/IF(SUMPRODUCT((A$3:A386=A387)*(C$3:C386="Compra")*D$3:D386)=0,1,SUMPRODUCT((A$3:A386=A387)*(C$3:C386="Compra")*D$3:D386)))*D387,0),"")</f>
        <v/>
      </c>
      <c r="H387" s="7" t="str">
        <f aca="false">IF(C387="Venda",E387*D387,"")</f>
        <v/>
      </c>
    </row>
    <row r="388" customFormat="false" ht="15" hidden="false" customHeight="false" outlineLevel="0" collapsed="false">
      <c r="A388" s="17" t="str">
        <f aca="false">IF(Transações!C388&lt;&gt;"",Transações!C388,"")</f>
        <v/>
      </c>
      <c r="B388" s="17" t="str">
        <f aca="false">IF(Transações!A388&lt;&gt;"",Transações!A388,"")</f>
        <v/>
      </c>
      <c r="C388" s="17" t="str">
        <f aca="false">IF(Transações!B388&lt;&gt;"",Transações!B388,"")</f>
        <v/>
      </c>
      <c r="D388" s="18" t="str">
        <f aca="false">IF(Transações!D388&lt;&gt;"",Transações!D388,"")</f>
        <v/>
      </c>
      <c r="E388" s="19" t="str">
        <f aca="false">IF(Transações!E388&lt;&gt;"",Transações!E388,"")</f>
        <v/>
      </c>
      <c r="F388" s="12" t="str">
        <f aca="false">IF(C388="Compra",D388*E388,IF(C388="Staking",D388*E388,""))</f>
        <v/>
      </c>
      <c r="G388" s="12" t="str">
        <f aca="false">IF(C388="Venda",IF(COUNTIF(A$3:A387,A388)&gt;0,(E388-SUMPRODUCT((A$3:A387=A388)*(C$3:C387="Compra")*F$3:F387)/IF(SUMPRODUCT((A$3:A387=A388)*(C$3:C387="Compra")*D$3:D387)=0,1,SUMPRODUCT((A$3:A387=A388)*(C$3:C387="Compra")*D$3:D387)))*D388,0),"")</f>
        <v/>
      </c>
      <c r="H388" s="12" t="str">
        <f aca="false">IF(C388="Venda",E388*D388,"")</f>
        <v/>
      </c>
    </row>
    <row r="389" customFormat="false" ht="15" hidden="false" customHeight="false" outlineLevel="0" collapsed="false">
      <c r="A389" s="14" t="str">
        <f aca="false">IF(Transações!C389&lt;&gt;"",Transações!C389,"")</f>
        <v/>
      </c>
      <c r="B389" s="14" t="str">
        <f aca="false">IF(Transações!A389&lt;&gt;"",Transações!A389,"")</f>
        <v/>
      </c>
      <c r="C389" s="14" t="str">
        <f aca="false">IF(Transações!B389&lt;&gt;"",Transações!B389,"")</f>
        <v/>
      </c>
      <c r="D389" s="15" t="str">
        <f aca="false">IF(Transações!D389&lt;&gt;"",Transações!D389,"")</f>
        <v/>
      </c>
      <c r="E389" s="16" t="str">
        <f aca="false">IF(Transações!E389&lt;&gt;"",Transações!E389,"")</f>
        <v/>
      </c>
      <c r="F389" s="7" t="str">
        <f aca="false">IF(C389="Compra",D389*E389,IF(C389="Staking",D389*E389,""))</f>
        <v/>
      </c>
      <c r="G389" s="7" t="str">
        <f aca="false">IF(C389="Venda",IF(COUNTIF(A$3:A388,A389)&gt;0,(E389-SUMPRODUCT((A$3:A388=A389)*(C$3:C388="Compra")*F$3:F388)/IF(SUMPRODUCT((A$3:A388=A389)*(C$3:C388="Compra")*D$3:D388)=0,1,SUMPRODUCT((A$3:A388=A389)*(C$3:C388="Compra")*D$3:D388)))*D389,0),"")</f>
        <v/>
      </c>
      <c r="H389" s="7" t="str">
        <f aca="false">IF(C389="Venda",E389*D389,"")</f>
        <v/>
      </c>
    </row>
    <row r="390" customFormat="false" ht="15" hidden="false" customHeight="false" outlineLevel="0" collapsed="false">
      <c r="A390" s="17" t="str">
        <f aca="false">IF(Transações!C390&lt;&gt;"",Transações!C390,"")</f>
        <v/>
      </c>
      <c r="B390" s="17" t="str">
        <f aca="false">IF(Transações!A390&lt;&gt;"",Transações!A390,"")</f>
        <v/>
      </c>
      <c r="C390" s="17" t="str">
        <f aca="false">IF(Transações!B390&lt;&gt;"",Transações!B390,"")</f>
        <v/>
      </c>
      <c r="D390" s="18" t="str">
        <f aca="false">IF(Transações!D390&lt;&gt;"",Transações!D390,"")</f>
        <v/>
      </c>
      <c r="E390" s="19" t="str">
        <f aca="false">IF(Transações!E390&lt;&gt;"",Transações!E390,"")</f>
        <v/>
      </c>
      <c r="F390" s="12" t="str">
        <f aca="false">IF(C390="Compra",D390*E390,IF(C390="Staking",D390*E390,""))</f>
        <v/>
      </c>
      <c r="G390" s="12" t="str">
        <f aca="false">IF(C390="Venda",IF(COUNTIF(A$3:A389,A390)&gt;0,(E390-SUMPRODUCT((A$3:A389=A390)*(C$3:C389="Compra")*F$3:F389)/IF(SUMPRODUCT((A$3:A389=A390)*(C$3:C389="Compra")*D$3:D389)=0,1,SUMPRODUCT((A$3:A389=A390)*(C$3:C389="Compra")*D$3:D389)))*D390,0),"")</f>
        <v/>
      </c>
      <c r="H390" s="12" t="str">
        <f aca="false">IF(C390="Venda",E390*D390,"")</f>
        <v/>
      </c>
    </row>
    <row r="391" customFormat="false" ht="15" hidden="false" customHeight="false" outlineLevel="0" collapsed="false">
      <c r="A391" s="14" t="str">
        <f aca="false">IF(Transações!C391&lt;&gt;"",Transações!C391,"")</f>
        <v/>
      </c>
      <c r="B391" s="14" t="str">
        <f aca="false">IF(Transações!A391&lt;&gt;"",Transações!A391,"")</f>
        <v/>
      </c>
      <c r="C391" s="14" t="str">
        <f aca="false">IF(Transações!B391&lt;&gt;"",Transações!B391,"")</f>
        <v/>
      </c>
      <c r="D391" s="15" t="str">
        <f aca="false">IF(Transações!D391&lt;&gt;"",Transações!D391,"")</f>
        <v/>
      </c>
      <c r="E391" s="16" t="str">
        <f aca="false">IF(Transações!E391&lt;&gt;"",Transações!E391,"")</f>
        <v/>
      </c>
      <c r="F391" s="7" t="str">
        <f aca="false">IF(C391="Compra",D391*E391,IF(C391="Staking",D391*E391,""))</f>
        <v/>
      </c>
      <c r="G391" s="7" t="str">
        <f aca="false">IF(C391="Venda",IF(COUNTIF(A$3:A390,A391)&gt;0,(E391-SUMPRODUCT((A$3:A390=A391)*(C$3:C390="Compra")*F$3:F390)/IF(SUMPRODUCT((A$3:A390=A391)*(C$3:C390="Compra")*D$3:D390)=0,1,SUMPRODUCT((A$3:A390=A391)*(C$3:C390="Compra")*D$3:D390)))*D391,0),"")</f>
        <v/>
      </c>
      <c r="H391" s="7" t="str">
        <f aca="false">IF(C391="Venda",E391*D391,"")</f>
        <v/>
      </c>
    </row>
    <row r="392" customFormat="false" ht="15" hidden="false" customHeight="false" outlineLevel="0" collapsed="false">
      <c r="A392" s="17" t="str">
        <f aca="false">IF(Transações!C392&lt;&gt;"",Transações!C392,"")</f>
        <v/>
      </c>
      <c r="B392" s="17" t="str">
        <f aca="false">IF(Transações!A392&lt;&gt;"",Transações!A392,"")</f>
        <v/>
      </c>
      <c r="C392" s="17" t="str">
        <f aca="false">IF(Transações!B392&lt;&gt;"",Transações!B392,"")</f>
        <v/>
      </c>
      <c r="D392" s="18" t="str">
        <f aca="false">IF(Transações!D392&lt;&gt;"",Transações!D392,"")</f>
        <v/>
      </c>
      <c r="E392" s="19" t="str">
        <f aca="false">IF(Transações!E392&lt;&gt;"",Transações!E392,"")</f>
        <v/>
      </c>
      <c r="F392" s="12" t="str">
        <f aca="false">IF(C392="Compra",D392*E392,IF(C392="Staking",D392*E392,""))</f>
        <v/>
      </c>
      <c r="G392" s="12" t="str">
        <f aca="false">IF(C392="Venda",IF(COUNTIF(A$3:A391,A392)&gt;0,(E392-SUMPRODUCT((A$3:A391=A392)*(C$3:C391="Compra")*F$3:F391)/IF(SUMPRODUCT((A$3:A391=A392)*(C$3:C391="Compra")*D$3:D391)=0,1,SUMPRODUCT((A$3:A391=A392)*(C$3:C391="Compra")*D$3:D391)))*D392,0),"")</f>
        <v/>
      </c>
      <c r="H392" s="12" t="str">
        <f aca="false">IF(C392="Venda",E392*D392,"")</f>
        <v/>
      </c>
    </row>
    <row r="393" customFormat="false" ht="15" hidden="false" customHeight="false" outlineLevel="0" collapsed="false">
      <c r="A393" s="14" t="str">
        <f aca="false">IF(Transações!C393&lt;&gt;"",Transações!C393,"")</f>
        <v/>
      </c>
      <c r="B393" s="14" t="str">
        <f aca="false">IF(Transações!A393&lt;&gt;"",Transações!A393,"")</f>
        <v/>
      </c>
      <c r="C393" s="14" t="str">
        <f aca="false">IF(Transações!B393&lt;&gt;"",Transações!B393,"")</f>
        <v/>
      </c>
      <c r="D393" s="15" t="str">
        <f aca="false">IF(Transações!D393&lt;&gt;"",Transações!D393,"")</f>
        <v/>
      </c>
      <c r="E393" s="16" t="str">
        <f aca="false">IF(Transações!E393&lt;&gt;"",Transações!E393,"")</f>
        <v/>
      </c>
      <c r="F393" s="7" t="str">
        <f aca="false">IF(C393="Compra",D393*E393,IF(C393="Staking",D393*E393,""))</f>
        <v/>
      </c>
      <c r="G393" s="7" t="str">
        <f aca="false">IF(C393="Venda",IF(COUNTIF(A$3:A392,A393)&gt;0,(E393-SUMPRODUCT((A$3:A392=A393)*(C$3:C392="Compra")*F$3:F392)/IF(SUMPRODUCT((A$3:A392=A393)*(C$3:C392="Compra")*D$3:D392)=0,1,SUMPRODUCT((A$3:A392=A393)*(C$3:C392="Compra")*D$3:D392)))*D393,0),"")</f>
        <v/>
      </c>
      <c r="H393" s="7" t="str">
        <f aca="false">IF(C393="Venda",E393*D393,"")</f>
        <v/>
      </c>
    </row>
    <row r="394" customFormat="false" ht="15" hidden="false" customHeight="false" outlineLevel="0" collapsed="false">
      <c r="A394" s="17" t="str">
        <f aca="false">IF(Transações!C394&lt;&gt;"",Transações!C394,"")</f>
        <v/>
      </c>
      <c r="B394" s="17" t="str">
        <f aca="false">IF(Transações!A394&lt;&gt;"",Transações!A394,"")</f>
        <v/>
      </c>
      <c r="C394" s="17" t="str">
        <f aca="false">IF(Transações!B394&lt;&gt;"",Transações!B394,"")</f>
        <v/>
      </c>
      <c r="D394" s="18" t="str">
        <f aca="false">IF(Transações!D394&lt;&gt;"",Transações!D394,"")</f>
        <v/>
      </c>
      <c r="E394" s="19" t="str">
        <f aca="false">IF(Transações!E394&lt;&gt;"",Transações!E394,"")</f>
        <v/>
      </c>
      <c r="F394" s="12" t="str">
        <f aca="false">IF(C394="Compra",D394*E394,IF(C394="Staking",D394*E394,""))</f>
        <v/>
      </c>
      <c r="G394" s="12" t="str">
        <f aca="false">IF(C394="Venda",IF(COUNTIF(A$3:A393,A394)&gt;0,(E394-SUMPRODUCT((A$3:A393=A394)*(C$3:C393="Compra")*F$3:F393)/IF(SUMPRODUCT((A$3:A393=A394)*(C$3:C393="Compra")*D$3:D393)=0,1,SUMPRODUCT((A$3:A393=A394)*(C$3:C393="Compra")*D$3:D393)))*D394,0),"")</f>
        <v/>
      </c>
      <c r="H394" s="12" t="str">
        <f aca="false">IF(C394="Venda",E394*D394,"")</f>
        <v/>
      </c>
    </row>
    <row r="395" customFormat="false" ht="15" hidden="false" customHeight="false" outlineLevel="0" collapsed="false">
      <c r="A395" s="14" t="str">
        <f aca="false">IF(Transações!C395&lt;&gt;"",Transações!C395,"")</f>
        <v/>
      </c>
      <c r="B395" s="14" t="str">
        <f aca="false">IF(Transações!A395&lt;&gt;"",Transações!A395,"")</f>
        <v/>
      </c>
      <c r="C395" s="14" t="str">
        <f aca="false">IF(Transações!B395&lt;&gt;"",Transações!B395,"")</f>
        <v/>
      </c>
      <c r="D395" s="15" t="str">
        <f aca="false">IF(Transações!D395&lt;&gt;"",Transações!D395,"")</f>
        <v/>
      </c>
      <c r="E395" s="16" t="str">
        <f aca="false">IF(Transações!E395&lt;&gt;"",Transações!E395,"")</f>
        <v/>
      </c>
      <c r="F395" s="7" t="str">
        <f aca="false">IF(C395="Compra",D395*E395,IF(C395="Staking",D395*E395,""))</f>
        <v/>
      </c>
      <c r="G395" s="7" t="str">
        <f aca="false">IF(C395="Venda",IF(COUNTIF(A$3:A394,A395)&gt;0,(E395-SUMPRODUCT((A$3:A394=A395)*(C$3:C394="Compra")*F$3:F394)/IF(SUMPRODUCT((A$3:A394=A395)*(C$3:C394="Compra")*D$3:D394)=0,1,SUMPRODUCT((A$3:A394=A395)*(C$3:C394="Compra")*D$3:D394)))*D395,0),"")</f>
        <v/>
      </c>
      <c r="H395" s="7" t="str">
        <f aca="false">IF(C395="Venda",E395*D395,"")</f>
        <v/>
      </c>
    </row>
    <row r="396" customFormat="false" ht="15" hidden="false" customHeight="false" outlineLevel="0" collapsed="false">
      <c r="A396" s="17" t="str">
        <f aca="false">IF(Transações!C396&lt;&gt;"",Transações!C396,"")</f>
        <v/>
      </c>
      <c r="B396" s="17" t="str">
        <f aca="false">IF(Transações!A396&lt;&gt;"",Transações!A396,"")</f>
        <v/>
      </c>
      <c r="C396" s="17" t="str">
        <f aca="false">IF(Transações!B396&lt;&gt;"",Transações!B396,"")</f>
        <v/>
      </c>
      <c r="D396" s="18" t="str">
        <f aca="false">IF(Transações!D396&lt;&gt;"",Transações!D396,"")</f>
        <v/>
      </c>
      <c r="E396" s="19" t="str">
        <f aca="false">IF(Transações!E396&lt;&gt;"",Transações!E396,"")</f>
        <v/>
      </c>
      <c r="F396" s="12" t="str">
        <f aca="false">IF(C396="Compra",D396*E396,IF(C396="Staking",D396*E396,""))</f>
        <v/>
      </c>
      <c r="G396" s="12" t="str">
        <f aca="false">IF(C396="Venda",IF(COUNTIF(A$3:A395,A396)&gt;0,(E396-SUMPRODUCT((A$3:A395=A396)*(C$3:C395="Compra")*F$3:F395)/IF(SUMPRODUCT((A$3:A395=A396)*(C$3:C395="Compra")*D$3:D395)=0,1,SUMPRODUCT((A$3:A395=A396)*(C$3:C395="Compra")*D$3:D395)))*D396,0),"")</f>
        <v/>
      </c>
      <c r="H396" s="12" t="str">
        <f aca="false">IF(C396="Venda",E396*D396,"")</f>
        <v/>
      </c>
    </row>
    <row r="397" customFormat="false" ht="15" hidden="false" customHeight="false" outlineLevel="0" collapsed="false">
      <c r="A397" s="14" t="str">
        <f aca="false">IF(Transações!C397&lt;&gt;"",Transações!C397,"")</f>
        <v/>
      </c>
      <c r="B397" s="14" t="str">
        <f aca="false">IF(Transações!A397&lt;&gt;"",Transações!A397,"")</f>
        <v/>
      </c>
      <c r="C397" s="14" t="str">
        <f aca="false">IF(Transações!B397&lt;&gt;"",Transações!B397,"")</f>
        <v/>
      </c>
      <c r="D397" s="15" t="str">
        <f aca="false">IF(Transações!D397&lt;&gt;"",Transações!D397,"")</f>
        <v/>
      </c>
      <c r="E397" s="16" t="str">
        <f aca="false">IF(Transações!E397&lt;&gt;"",Transações!E397,"")</f>
        <v/>
      </c>
      <c r="F397" s="7" t="str">
        <f aca="false">IF(C397="Compra",D397*E397,IF(C397="Staking",D397*E397,""))</f>
        <v/>
      </c>
      <c r="G397" s="7" t="str">
        <f aca="false">IF(C397="Venda",IF(COUNTIF(A$3:A396,A397)&gt;0,(E397-SUMPRODUCT((A$3:A396=A397)*(C$3:C396="Compra")*F$3:F396)/IF(SUMPRODUCT((A$3:A396=A397)*(C$3:C396="Compra")*D$3:D396)=0,1,SUMPRODUCT((A$3:A396=A397)*(C$3:C396="Compra")*D$3:D396)))*D397,0),"")</f>
        <v/>
      </c>
      <c r="H397" s="7" t="str">
        <f aca="false">IF(C397="Venda",E397*D397,"")</f>
        <v/>
      </c>
    </row>
    <row r="398" customFormat="false" ht="15" hidden="false" customHeight="false" outlineLevel="0" collapsed="false">
      <c r="A398" s="17" t="str">
        <f aca="false">IF(Transações!C398&lt;&gt;"",Transações!C398,"")</f>
        <v/>
      </c>
      <c r="B398" s="17" t="str">
        <f aca="false">IF(Transações!A398&lt;&gt;"",Transações!A398,"")</f>
        <v/>
      </c>
      <c r="C398" s="17" t="str">
        <f aca="false">IF(Transações!B398&lt;&gt;"",Transações!B398,"")</f>
        <v/>
      </c>
      <c r="D398" s="18" t="str">
        <f aca="false">IF(Transações!D398&lt;&gt;"",Transações!D398,"")</f>
        <v/>
      </c>
      <c r="E398" s="19" t="str">
        <f aca="false">IF(Transações!E398&lt;&gt;"",Transações!E398,"")</f>
        <v/>
      </c>
      <c r="F398" s="12" t="str">
        <f aca="false">IF(C398="Compra",D398*E398,IF(C398="Staking",D398*E398,""))</f>
        <v/>
      </c>
      <c r="G398" s="12" t="str">
        <f aca="false">IF(C398="Venda",IF(COUNTIF(A$3:A397,A398)&gt;0,(E398-SUMPRODUCT((A$3:A397=A398)*(C$3:C397="Compra")*F$3:F397)/IF(SUMPRODUCT((A$3:A397=A398)*(C$3:C397="Compra")*D$3:D397)=0,1,SUMPRODUCT((A$3:A397=A398)*(C$3:C397="Compra")*D$3:D397)))*D398,0),"")</f>
        <v/>
      </c>
      <c r="H398" s="12" t="str">
        <f aca="false">IF(C398="Venda",E398*D398,"")</f>
        <v/>
      </c>
    </row>
    <row r="399" customFormat="false" ht="15" hidden="false" customHeight="false" outlineLevel="0" collapsed="false">
      <c r="A399" s="14" t="str">
        <f aca="false">IF(Transações!C399&lt;&gt;"",Transações!C399,"")</f>
        <v/>
      </c>
      <c r="B399" s="14" t="str">
        <f aca="false">IF(Transações!A399&lt;&gt;"",Transações!A399,"")</f>
        <v/>
      </c>
      <c r="C399" s="14" t="str">
        <f aca="false">IF(Transações!B399&lt;&gt;"",Transações!B399,"")</f>
        <v/>
      </c>
      <c r="D399" s="15" t="str">
        <f aca="false">IF(Transações!D399&lt;&gt;"",Transações!D399,"")</f>
        <v/>
      </c>
      <c r="E399" s="16" t="str">
        <f aca="false">IF(Transações!E399&lt;&gt;"",Transações!E399,"")</f>
        <v/>
      </c>
      <c r="F399" s="7" t="str">
        <f aca="false">IF(C399="Compra",D399*E399,IF(C399="Staking",D399*E399,""))</f>
        <v/>
      </c>
      <c r="G399" s="7" t="str">
        <f aca="false">IF(C399="Venda",IF(COUNTIF(A$3:A398,A399)&gt;0,(E399-SUMPRODUCT((A$3:A398=A399)*(C$3:C398="Compra")*F$3:F398)/IF(SUMPRODUCT((A$3:A398=A399)*(C$3:C398="Compra")*D$3:D398)=0,1,SUMPRODUCT((A$3:A398=A399)*(C$3:C398="Compra")*D$3:D398)))*D399,0),"")</f>
        <v/>
      </c>
      <c r="H399" s="7" t="str">
        <f aca="false">IF(C399="Venda",E399*D399,"")</f>
        <v/>
      </c>
    </row>
    <row r="400" customFormat="false" ht="15" hidden="false" customHeight="false" outlineLevel="0" collapsed="false">
      <c r="A400" s="17" t="str">
        <f aca="false">IF(Transações!C400&lt;&gt;"",Transações!C400,"")</f>
        <v/>
      </c>
      <c r="B400" s="17" t="str">
        <f aca="false">IF(Transações!A400&lt;&gt;"",Transações!A400,"")</f>
        <v/>
      </c>
      <c r="C400" s="17" t="str">
        <f aca="false">IF(Transações!B400&lt;&gt;"",Transações!B400,"")</f>
        <v/>
      </c>
      <c r="D400" s="18" t="str">
        <f aca="false">IF(Transações!D400&lt;&gt;"",Transações!D400,"")</f>
        <v/>
      </c>
      <c r="E400" s="19" t="str">
        <f aca="false">IF(Transações!E400&lt;&gt;"",Transações!E400,"")</f>
        <v/>
      </c>
      <c r="F400" s="12" t="str">
        <f aca="false">IF(C400="Compra",D400*E400,IF(C400="Staking",D400*E400,""))</f>
        <v/>
      </c>
      <c r="G400" s="12" t="str">
        <f aca="false">IF(C400="Venda",IF(COUNTIF(A$3:A399,A400)&gt;0,(E400-SUMPRODUCT((A$3:A399=A400)*(C$3:C399="Compra")*F$3:F399)/IF(SUMPRODUCT((A$3:A399=A400)*(C$3:C399="Compra")*D$3:D399)=0,1,SUMPRODUCT((A$3:A399=A400)*(C$3:C399="Compra")*D$3:D399)))*D400,0),"")</f>
        <v/>
      </c>
      <c r="H400" s="12" t="str">
        <f aca="false">IF(C400="Venda",E400*D400,"")</f>
        <v/>
      </c>
    </row>
    <row r="401" customFormat="false" ht="15" hidden="false" customHeight="false" outlineLevel="0" collapsed="false">
      <c r="A401" s="14" t="str">
        <f aca="false">IF(Transações!C401&lt;&gt;"",Transações!C401,"")</f>
        <v/>
      </c>
      <c r="B401" s="14" t="str">
        <f aca="false">IF(Transações!A401&lt;&gt;"",Transações!A401,"")</f>
        <v/>
      </c>
      <c r="C401" s="14" t="str">
        <f aca="false">IF(Transações!B401&lt;&gt;"",Transações!B401,"")</f>
        <v/>
      </c>
      <c r="D401" s="15" t="str">
        <f aca="false">IF(Transações!D401&lt;&gt;"",Transações!D401,"")</f>
        <v/>
      </c>
      <c r="E401" s="16" t="str">
        <f aca="false">IF(Transações!E401&lt;&gt;"",Transações!E401,"")</f>
        <v/>
      </c>
      <c r="F401" s="7" t="str">
        <f aca="false">IF(C401="Compra",D401*E401,IF(C401="Staking",D401*E401,""))</f>
        <v/>
      </c>
      <c r="G401" s="7" t="str">
        <f aca="false">IF(C401="Venda",IF(COUNTIF(A$3:A400,A401)&gt;0,(E401-SUMPRODUCT((A$3:A400=A401)*(C$3:C400="Compra")*F$3:F400)/IF(SUMPRODUCT((A$3:A400=A401)*(C$3:C400="Compra")*D$3:D400)=0,1,SUMPRODUCT((A$3:A400=A401)*(C$3:C400="Compra")*D$3:D400)))*D401,0),"")</f>
        <v/>
      </c>
      <c r="H401" s="7" t="str">
        <f aca="false">IF(C401="Venda",E401*D401,"")</f>
        <v/>
      </c>
    </row>
    <row r="402" customFormat="false" ht="15" hidden="false" customHeight="false" outlineLevel="0" collapsed="false">
      <c r="A402" s="17" t="str">
        <f aca="false">IF(Transações!C402&lt;&gt;"",Transações!C402,"")</f>
        <v/>
      </c>
      <c r="B402" s="17" t="str">
        <f aca="false">IF(Transações!A402&lt;&gt;"",Transações!A402,"")</f>
        <v/>
      </c>
      <c r="C402" s="17" t="str">
        <f aca="false">IF(Transações!B402&lt;&gt;"",Transações!B402,"")</f>
        <v/>
      </c>
      <c r="D402" s="18" t="str">
        <f aca="false">IF(Transações!D402&lt;&gt;"",Transações!D402,"")</f>
        <v/>
      </c>
      <c r="E402" s="19" t="str">
        <f aca="false">IF(Transações!E402&lt;&gt;"",Transações!E402,"")</f>
        <v/>
      </c>
      <c r="F402" s="12" t="str">
        <f aca="false">IF(C402="Compra",D402*E402,IF(C402="Staking",D402*E402,""))</f>
        <v/>
      </c>
      <c r="G402" s="12" t="str">
        <f aca="false">IF(C402="Venda",IF(COUNTIF(A$3:A401,A402)&gt;0,(E402-SUMPRODUCT((A$3:A401=A402)*(C$3:C401="Compra")*F$3:F401)/IF(SUMPRODUCT((A$3:A401=A402)*(C$3:C401="Compra")*D$3:D401)=0,1,SUMPRODUCT((A$3:A401=A402)*(C$3:C401="Compra")*D$3:D401)))*D402,0),"")</f>
        <v/>
      </c>
      <c r="H402" s="12" t="str">
        <f aca="false">IF(C402="Venda",E402*D402,"")</f>
        <v/>
      </c>
    </row>
    <row r="403" customFormat="false" ht="15" hidden="false" customHeight="false" outlineLevel="0" collapsed="false">
      <c r="A403" s="14" t="str">
        <f aca="false">IF(Transações!C403&lt;&gt;"",Transações!C403,"")</f>
        <v/>
      </c>
      <c r="B403" s="14" t="str">
        <f aca="false">IF(Transações!A403&lt;&gt;"",Transações!A403,"")</f>
        <v/>
      </c>
      <c r="C403" s="14" t="str">
        <f aca="false">IF(Transações!B403&lt;&gt;"",Transações!B403,"")</f>
        <v/>
      </c>
      <c r="D403" s="15" t="str">
        <f aca="false">IF(Transações!D403&lt;&gt;"",Transações!D403,"")</f>
        <v/>
      </c>
      <c r="E403" s="16" t="str">
        <f aca="false">IF(Transações!E403&lt;&gt;"",Transações!E403,"")</f>
        <v/>
      </c>
      <c r="F403" s="7" t="str">
        <f aca="false">IF(C403="Compra",D403*E403,IF(C403="Staking",D403*E403,""))</f>
        <v/>
      </c>
      <c r="G403" s="7" t="str">
        <f aca="false">IF(C403="Venda",IF(COUNTIF(A$3:A402,A403)&gt;0,(E403-SUMPRODUCT((A$3:A402=A403)*(C$3:C402="Compra")*F$3:F402)/IF(SUMPRODUCT((A$3:A402=A403)*(C$3:C402="Compra")*D$3:D402)=0,1,SUMPRODUCT((A$3:A402=A403)*(C$3:C402="Compra")*D$3:D402)))*D403,0),"")</f>
        <v/>
      </c>
      <c r="H403" s="7" t="str">
        <f aca="false">IF(C403="Venda",E403*D403,"")</f>
        <v/>
      </c>
    </row>
    <row r="404" customFormat="false" ht="15" hidden="false" customHeight="false" outlineLevel="0" collapsed="false">
      <c r="A404" s="17" t="str">
        <f aca="false">IF(Transações!C404&lt;&gt;"",Transações!C404,"")</f>
        <v/>
      </c>
      <c r="B404" s="17" t="str">
        <f aca="false">IF(Transações!A404&lt;&gt;"",Transações!A404,"")</f>
        <v/>
      </c>
      <c r="C404" s="17" t="str">
        <f aca="false">IF(Transações!B404&lt;&gt;"",Transações!B404,"")</f>
        <v/>
      </c>
      <c r="D404" s="18" t="str">
        <f aca="false">IF(Transações!D404&lt;&gt;"",Transações!D404,"")</f>
        <v/>
      </c>
      <c r="E404" s="19" t="str">
        <f aca="false">IF(Transações!E404&lt;&gt;"",Transações!E404,"")</f>
        <v/>
      </c>
      <c r="F404" s="12" t="str">
        <f aca="false">IF(C404="Compra",D404*E404,IF(C404="Staking",D404*E404,""))</f>
        <v/>
      </c>
      <c r="G404" s="12" t="str">
        <f aca="false">IF(C404="Venda",IF(COUNTIF(A$3:A403,A404)&gt;0,(E404-SUMPRODUCT((A$3:A403=A404)*(C$3:C403="Compra")*F$3:F403)/IF(SUMPRODUCT((A$3:A403=A404)*(C$3:C403="Compra")*D$3:D403)=0,1,SUMPRODUCT((A$3:A403=A404)*(C$3:C403="Compra")*D$3:D403)))*D404,0),"")</f>
        <v/>
      </c>
      <c r="H404" s="12" t="str">
        <f aca="false">IF(C404="Venda",E404*D404,"")</f>
        <v/>
      </c>
    </row>
    <row r="405" customFormat="false" ht="15" hidden="false" customHeight="false" outlineLevel="0" collapsed="false">
      <c r="A405" s="14" t="str">
        <f aca="false">IF(Transações!C405&lt;&gt;"",Transações!C405,"")</f>
        <v/>
      </c>
      <c r="B405" s="14" t="str">
        <f aca="false">IF(Transações!A405&lt;&gt;"",Transações!A405,"")</f>
        <v/>
      </c>
      <c r="C405" s="14" t="str">
        <f aca="false">IF(Transações!B405&lt;&gt;"",Transações!B405,"")</f>
        <v/>
      </c>
      <c r="D405" s="15" t="str">
        <f aca="false">IF(Transações!D405&lt;&gt;"",Transações!D405,"")</f>
        <v/>
      </c>
      <c r="E405" s="16" t="str">
        <f aca="false">IF(Transações!E405&lt;&gt;"",Transações!E405,"")</f>
        <v/>
      </c>
      <c r="F405" s="7" t="str">
        <f aca="false">IF(C405="Compra",D405*E405,IF(C405="Staking",D405*E405,""))</f>
        <v/>
      </c>
      <c r="G405" s="7" t="str">
        <f aca="false">IF(C405="Venda",IF(COUNTIF(A$3:A404,A405)&gt;0,(E405-SUMPRODUCT((A$3:A404=A405)*(C$3:C404="Compra")*F$3:F404)/IF(SUMPRODUCT((A$3:A404=A405)*(C$3:C404="Compra")*D$3:D404)=0,1,SUMPRODUCT((A$3:A404=A405)*(C$3:C404="Compra")*D$3:D404)))*D405,0),"")</f>
        <v/>
      </c>
      <c r="H405" s="7" t="str">
        <f aca="false">IF(C405="Venda",E405*D405,"")</f>
        <v/>
      </c>
    </row>
    <row r="406" customFormat="false" ht="15" hidden="false" customHeight="false" outlineLevel="0" collapsed="false">
      <c r="A406" s="17" t="str">
        <f aca="false">IF(Transações!C406&lt;&gt;"",Transações!C406,"")</f>
        <v/>
      </c>
      <c r="B406" s="17" t="str">
        <f aca="false">IF(Transações!A406&lt;&gt;"",Transações!A406,"")</f>
        <v/>
      </c>
      <c r="C406" s="17" t="str">
        <f aca="false">IF(Transações!B406&lt;&gt;"",Transações!B406,"")</f>
        <v/>
      </c>
      <c r="D406" s="18" t="str">
        <f aca="false">IF(Transações!D406&lt;&gt;"",Transações!D406,"")</f>
        <v/>
      </c>
      <c r="E406" s="19" t="str">
        <f aca="false">IF(Transações!E406&lt;&gt;"",Transações!E406,"")</f>
        <v/>
      </c>
      <c r="F406" s="12" t="str">
        <f aca="false">IF(C406="Compra",D406*E406,IF(C406="Staking",D406*E406,""))</f>
        <v/>
      </c>
      <c r="G406" s="12" t="str">
        <f aca="false">IF(C406="Venda",IF(COUNTIF(A$3:A405,A406)&gt;0,(E406-SUMPRODUCT((A$3:A405=A406)*(C$3:C405="Compra")*F$3:F405)/IF(SUMPRODUCT((A$3:A405=A406)*(C$3:C405="Compra")*D$3:D405)=0,1,SUMPRODUCT((A$3:A405=A406)*(C$3:C405="Compra")*D$3:D405)))*D406,0),"")</f>
        <v/>
      </c>
      <c r="H406" s="12" t="str">
        <f aca="false">IF(C406="Venda",E406*D406,"")</f>
        <v/>
      </c>
    </row>
    <row r="407" customFormat="false" ht="15" hidden="false" customHeight="false" outlineLevel="0" collapsed="false">
      <c r="A407" s="14" t="str">
        <f aca="false">IF(Transações!C407&lt;&gt;"",Transações!C407,"")</f>
        <v/>
      </c>
      <c r="B407" s="14" t="str">
        <f aca="false">IF(Transações!A407&lt;&gt;"",Transações!A407,"")</f>
        <v/>
      </c>
      <c r="C407" s="14" t="str">
        <f aca="false">IF(Transações!B407&lt;&gt;"",Transações!B407,"")</f>
        <v/>
      </c>
      <c r="D407" s="15" t="str">
        <f aca="false">IF(Transações!D407&lt;&gt;"",Transações!D407,"")</f>
        <v/>
      </c>
      <c r="E407" s="16" t="str">
        <f aca="false">IF(Transações!E407&lt;&gt;"",Transações!E407,"")</f>
        <v/>
      </c>
      <c r="F407" s="7" t="str">
        <f aca="false">IF(C407="Compra",D407*E407,IF(C407="Staking",D407*E407,""))</f>
        <v/>
      </c>
      <c r="G407" s="7" t="str">
        <f aca="false">IF(C407="Venda",IF(COUNTIF(A$3:A406,A407)&gt;0,(E407-SUMPRODUCT((A$3:A406=A407)*(C$3:C406="Compra")*F$3:F406)/IF(SUMPRODUCT((A$3:A406=A407)*(C$3:C406="Compra")*D$3:D406)=0,1,SUMPRODUCT((A$3:A406=A407)*(C$3:C406="Compra")*D$3:D406)))*D407,0),"")</f>
        <v/>
      </c>
      <c r="H407" s="7" t="str">
        <f aca="false">IF(C407="Venda",E407*D407,"")</f>
        <v/>
      </c>
    </row>
    <row r="408" customFormat="false" ht="15" hidden="false" customHeight="false" outlineLevel="0" collapsed="false">
      <c r="A408" s="17" t="str">
        <f aca="false">IF(Transações!C408&lt;&gt;"",Transações!C408,"")</f>
        <v/>
      </c>
      <c r="B408" s="17" t="str">
        <f aca="false">IF(Transações!A408&lt;&gt;"",Transações!A408,"")</f>
        <v/>
      </c>
      <c r="C408" s="17" t="str">
        <f aca="false">IF(Transações!B408&lt;&gt;"",Transações!B408,"")</f>
        <v/>
      </c>
      <c r="D408" s="18" t="str">
        <f aca="false">IF(Transações!D408&lt;&gt;"",Transações!D408,"")</f>
        <v/>
      </c>
      <c r="E408" s="19" t="str">
        <f aca="false">IF(Transações!E408&lt;&gt;"",Transações!E408,"")</f>
        <v/>
      </c>
      <c r="F408" s="12" t="str">
        <f aca="false">IF(C408="Compra",D408*E408,IF(C408="Staking",D408*E408,""))</f>
        <v/>
      </c>
      <c r="G408" s="12" t="str">
        <f aca="false">IF(C408="Venda",IF(COUNTIF(A$3:A407,A408)&gt;0,(E408-SUMPRODUCT((A$3:A407=A408)*(C$3:C407="Compra")*F$3:F407)/IF(SUMPRODUCT((A$3:A407=A408)*(C$3:C407="Compra")*D$3:D407)=0,1,SUMPRODUCT((A$3:A407=A408)*(C$3:C407="Compra")*D$3:D407)))*D408,0),"")</f>
        <v/>
      </c>
      <c r="H408" s="12" t="str">
        <f aca="false">IF(C408="Venda",E408*D408,"")</f>
        <v/>
      </c>
    </row>
    <row r="409" customFormat="false" ht="15" hidden="false" customHeight="false" outlineLevel="0" collapsed="false">
      <c r="A409" s="14" t="str">
        <f aca="false">IF(Transações!C409&lt;&gt;"",Transações!C409,"")</f>
        <v/>
      </c>
      <c r="B409" s="14" t="str">
        <f aca="false">IF(Transações!A409&lt;&gt;"",Transações!A409,"")</f>
        <v/>
      </c>
      <c r="C409" s="14" t="str">
        <f aca="false">IF(Transações!B409&lt;&gt;"",Transações!B409,"")</f>
        <v/>
      </c>
      <c r="D409" s="15" t="str">
        <f aca="false">IF(Transações!D409&lt;&gt;"",Transações!D409,"")</f>
        <v/>
      </c>
      <c r="E409" s="16" t="str">
        <f aca="false">IF(Transações!E409&lt;&gt;"",Transações!E409,"")</f>
        <v/>
      </c>
      <c r="F409" s="7" t="str">
        <f aca="false">IF(C409="Compra",D409*E409,IF(C409="Staking",D409*E409,""))</f>
        <v/>
      </c>
      <c r="G409" s="7" t="str">
        <f aca="false">IF(C409="Venda",IF(COUNTIF(A$3:A408,A409)&gt;0,(E409-SUMPRODUCT((A$3:A408=A409)*(C$3:C408="Compra")*F$3:F408)/IF(SUMPRODUCT((A$3:A408=A409)*(C$3:C408="Compra")*D$3:D408)=0,1,SUMPRODUCT((A$3:A408=A409)*(C$3:C408="Compra")*D$3:D408)))*D409,0),"")</f>
        <v/>
      </c>
      <c r="H409" s="7" t="str">
        <f aca="false">IF(C409="Venda",E409*D409,"")</f>
        <v/>
      </c>
    </row>
    <row r="410" customFormat="false" ht="15" hidden="false" customHeight="false" outlineLevel="0" collapsed="false">
      <c r="A410" s="17" t="str">
        <f aca="false">IF(Transações!C410&lt;&gt;"",Transações!C410,"")</f>
        <v/>
      </c>
      <c r="B410" s="17" t="str">
        <f aca="false">IF(Transações!A410&lt;&gt;"",Transações!A410,"")</f>
        <v/>
      </c>
      <c r="C410" s="17" t="str">
        <f aca="false">IF(Transações!B410&lt;&gt;"",Transações!B410,"")</f>
        <v/>
      </c>
      <c r="D410" s="18" t="str">
        <f aca="false">IF(Transações!D410&lt;&gt;"",Transações!D410,"")</f>
        <v/>
      </c>
      <c r="E410" s="19" t="str">
        <f aca="false">IF(Transações!E410&lt;&gt;"",Transações!E410,"")</f>
        <v/>
      </c>
      <c r="F410" s="12" t="str">
        <f aca="false">IF(C410="Compra",D410*E410,IF(C410="Staking",D410*E410,""))</f>
        <v/>
      </c>
      <c r="G410" s="12" t="str">
        <f aca="false">IF(C410="Venda",IF(COUNTIF(A$3:A409,A410)&gt;0,(E410-SUMPRODUCT((A$3:A409=A410)*(C$3:C409="Compra")*F$3:F409)/IF(SUMPRODUCT((A$3:A409=A410)*(C$3:C409="Compra")*D$3:D409)=0,1,SUMPRODUCT((A$3:A409=A410)*(C$3:C409="Compra")*D$3:D409)))*D410,0),"")</f>
        <v/>
      </c>
      <c r="H410" s="12" t="str">
        <f aca="false">IF(C410="Venda",E410*D410,"")</f>
        <v/>
      </c>
    </row>
    <row r="411" customFormat="false" ht="15" hidden="false" customHeight="false" outlineLevel="0" collapsed="false">
      <c r="A411" s="14" t="str">
        <f aca="false">IF(Transações!C411&lt;&gt;"",Transações!C411,"")</f>
        <v/>
      </c>
      <c r="B411" s="14" t="str">
        <f aca="false">IF(Transações!A411&lt;&gt;"",Transações!A411,"")</f>
        <v/>
      </c>
      <c r="C411" s="14" t="str">
        <f aca="false">IF(Transações!B411&lt;&gt;"",Transações!B411,"")</f>
        <v/>
      </c>
      <c r="D411" s="15" t="str">
        <f aca="false">IF(Transações!D411&lt;&gt;"",Transações!D411,"")</f>
        <v/>
      </c>
      <c r="E411" s="16" t="str">
        <f aca="false">IF(Transações!E411&lt;&gt;"",Transações!E411,"")</f>
        <v/>
      </c>
      <c r="F411" s="7" t="str">
        <f aca="false">IF(C411="Compra",D411*E411,IF(C411="Staking",D411*E411,""))</f>
        <v/>
      </c>
      <c r="G411" s="7" t="str">
        <f aca="false">IF(C411="Venda",IF(COUNTIF(A$3:A410,A411)&gt;0,(E411-SUMPRODUCT((A$3:A410=A411)*(C$3:C410="Compra")*F$3:F410)/IF(SUMPRODUCT((A$3:A410=A411)*(C$3:C410="Compra")*D$3:D410)=0,1,SUMPRODUCT((A$3:A410=A411)*(C$3:C410="Compra")*D$3:D410)))*D411,0),"")</f>
        <v/>
      </c>
      <c r="H411" s="7" t="str">
        <f aca="false">IF(C411="Venda",E411*D411,"")</f>
        <v/>
      </c>
    </row>
    <row r="412" customFormat="false" ht="15" hidden="false" customHeight="false" outlineLevel="0" collapsed="false">
      <c r="A412" s="17" t="str">
        <f aca="false">IF(Transações!C412&lt;&gt;"",Transações!C412,"")</f>
        <v/>
      </c>
      <c r="B412" s="17" t="str">
        <f aca="false">IF(Transações!A412&lt;&gt;"",Transações!A412,"")</f>
        <v/>
      </c>
      <c r="C412" s="17" t="str">
        <f aca="false">IF(Transações!B412&lt;&gt;"",Transações!B412,"")</f>
        <v/>
      </c>
      <c r="D412" s="18" t="str">
        <f aca="false">IF(Transações!D412&lt;&gt;"",Transações!D412,"")</f>
        <v/>
      </c>
      <c r="E412" s="19" t="str">
        <f aca="false">IF(Transações!E412&lt;&gt;"",Transações!E412,"")</f>
        <v/>
      </c>
      <c r="F412" s="12" t="str">
        <f aca="false">IF(C412="Compra",D412*E412,IF(C412="Staking",D412*E412,""))</f>
        <v/>
      </c>
      <c r="G412" s="12" t="str">
        <f aca="false">IF(C412="Venda",IF(COUNTIF(A$3:A411,A412)&gt;0,(E412-SUMPRODUCT((A$3:A411=A412)*(C$3:C411="Compra")*F$3:F411)/IF(SUMPRODUCT((A$3:A411=A412)*(C$3:C411="Compra")*D$3:D411)=0,1,SUMPRODUCT((A$3:A411=A412)*(C$3:C411="Compra")*D$3:D411)))*D412,0),"")</f>
        <v/>
      </c>
      <c r="H412" s="12" t="str">
        <f aca="false">IF(C412="Venda",E412*D412,"")</f>
        <v/>
      </c>
    </row>
    <row r="413" customFormat="false" ht="15" hidden="false" customHeight="false" outlineLevel="0" collapsed="false">
      <c r="A413" s="14" t="str">
        <f aca="false">IF(Transações!C413&lt;&gt;"",Transações!C413,"")</f>
        <v/>
      </c>
      <c r="B413" s="14" t="str">
        <f aca="false">IF(Transações!A413&lt;&gt;"",Transações!A413,"")</f>
        <v/>
      </c>
      <c r="C413" s="14" t="str">
        <f aca="false">IF(Transações!B413&lt;&gt;"",Transações!B413,"")</f>
        <v/>
      </c>
      <c r="D413" s="15" t="str">
        <f aca="false">IF(Transações!D413&lt;&gt;"",Transações!D413,"")</f>
        <v/>
      </c>
      <c r="E413" s="16" t="str">
        <f aca="false">IF(Transações!E413&lt;&gt;"",Transações!E413,"")</f>
        <v/>
      </c>
      <c r="F413" s="7" t="str">
        <f aca="false">IF(C413="Compra",D413*E413,IF(C413="Staking",D413*E413,""))</f>
        <v/>
      </c>
      <c r="G413" s="7" t="str">
        <f aca="false">IF(C413="Venda",IF(COUNTIF(A$3:A412,A413)&gt;0,(E413-SUMPRODUCT((A$3:A412=A413)*(C$3:C412="Compra")*F$3:F412)/IF(SUMPRODUCT((A$3:A412=A413)*(C$3:C412="Compra")*D$3:D412)=0,1,SUMPRODUCT((A$3:A412=A413)*(C$3:C412="Compra")*D$3:D412)))*D413,0),"")</f>
        <v/>
      </c>
      <c r="H413" s="7" t="str">
        <f aca="false">IF(C413="Venda",E413*D413,"")</f>
        <v/>
      </c>
    </row>
    <row r="414" customFormat="false" ht="15" hidden="false" customHeight="false" outlineLevel="0" collapsed="false">
      <c r="A414" s="17" t="str">
        <f aca="false">IF(Transações!C414&lt;&gt;"",Transações!C414,"")</f>
        <v/>
      </c>
      <c r="B414" s="17" t="str">
        <f aca="false">IF(Transações!A414&lt;&gt;"",Transações!A414,"")</f>
        <v/>
      </c>
      <c r="C414" s="17" t="str">
        <f aca="false">IF(Transações!B414&lt;&gt;"",Transações!B414,"")</f>
        <v/>
      </c>
      <c r="D414" s="18" t="str">
        <f aca="false">IF(Transações!D414&lt;&gt;"",Transações!D414,"")</f>
        <v/>
      </c>
      <c r="E414" s="19" t="str">
        <f aca="false">IF(Transações!E414&lt;&gt;"",Transações!E414,"")</f>
        <v/>
      </c>
      <c r="F414" s="12" t="str">
        <f aca="false">IF(C414="Compra",D414*E414,IF(C414="Staking",D414*E414,""))</f>
        <v/>
      </c>
      <c r="G414" s="12" t="str">
        <f aca="false">IF(C414="Venda",IF(COUNTIF(A$3:A413,A414)&gt;0,(E414-SUMPRODUCT((A$3:A413=A414)*(C$3:C413="Compra")*F$3:F413)/IF(SUMPRODUCT((A$3:A413=A414)*(C$3:C413="Compra")*D$3:D413)=0,1,SUMPRODUCT((A$3:A413=A414)*(C$3:C413="Compra")*D$3:D413)))*D414,0),"")</f>
        <v/>
      </c>
      <c r="H414" s="12" t="str">
        <f aca="false">IF(C414="Venda",E414*D414,"")</f>
        <v/>
      </c>
    </row>
    <row r="415" customFormat="false" ht="15" hidden="false" customHeight="false" outlineLevel="0" collapsed="false">
      <c r="A415" s="14" t="str">
        <f aca="false">IF(Transações!C415&lt;&gt;"",Transações!C415,"")</f>
        <v/>
      </c>
      <c r="B415" s="14" t="str">
        <f aca="false">IF(Transações!A415&lt;&gt;"",Transações!A415,"")</f>
        <v/>
      </c>
      <c r="C415" s="14" t="str">
        <f aca="false">IF(Transações!B415&lt;&gt;"",Transações!B415,"")</f>
        <v/>
      </c>
      <c r="D415" s="15" t="str">
        <f aca="false">IF(Transações!D415&lt;&gt;"",Transações!D415,"")</f>
        <v/>
      </c>
      <c r="E415" s="16" t="str">
        <f aca="false">IF(Transações!E415&lt;&gt;"",Transações!E415,"")</f>
        <v/>
      </c>
      <c r="F415" s="7" t="str">
        <f aca="false">IF(C415="Compra",D415*E415,IF(C415="Staking",D415*E415,""))</f>
        <v/>
      </c>
      <c r="G415" s="7" t="str">
        <f aca="false">IF(C415="Venda",IF(COUNTIF(A$3:A414,A415)&gt;0,(E415-SUMPRODUCT((A$3:A414=A415)*(C$3:C414="Compra")*F$3:F414)/IF(SUMPRODUCT((A$3:A414=A415)*(C$3:C414="Compra")*D$3:D414)=0,1,SUMPRODUCT((A$3:A414=A415)*(C$3:C414="Compra")*D$3:D414)))*D415,0),"")</f>
        <v/>
      </c>
      <c r="H415" s="7" t="str">
        <f aca="false">IF(C415="Venda",E415*D415,"")</f>
        <v/>
      </c>
    </row>
    <row r="416" customFormat="false" ht="15" hidden="false" customHeight="false" outlineLevel="0" collapsed="false">
      <c r="A416" s="17" t="str">
        <f aca="false">IF(Transações!C416&lt;&gt;"",Transações!C416,"")</f>
        <v/>
      </c>
      <c r="B416" s="17" t="str">
        <f aca="false">IF(Transações!A416&lt;&gt;"",Transações!A416,"")</f>
        <v/>
      </c>
      <c r="C416" s="17" t="str">
        <f aca="false">IF(Transações!B416&lt;&gt;"",Transações!B416,"")</f>
        <v/>
      </c>
      <c r="D416" s="18" t="str">
        <f aca="false">IF(Transações!D416&lt;&gt;"",Transações!D416,"")</f>
        <v/>
      </c>
      <c r="E416" s="19" t="str">
        <f aca="false">IF(Transações!E416&lt;&gt;"",Transações!E416,"")</f>
        <v/>
      </c>
      <c r="F416" s="12" t="str">
        <f aca="false">IF(C416="Compra",D416*E416,IF(C416="Staking",D416*E416,""))</f>
        <v/>
      </c>
      <c r="G416" s="12" t="str">
        <f aca="false">IF(C416="Venda",IF(COUNTIF(A$3:A415,A416)&gt;0,(E416-SUMPRODUCT((A$3:A415=A416)*(C$3:C415="Compra")*F$3:F415)/IF(SUMPRODUCT((A$3:A415=A416)*(C$3:C415="Compra")*D$3:D415)=0,1,SUMPRODUCT((A$3:A415=A416)*(C$3:C415="Compra")*D$3:D415)))*D416,0),"")</f>
        <v/>
      </c>
      <c r="H416" s="12" t="str">
        <f aca="false">IF(C416="Venda",E416*D416,"")</f>
        <v/>
      </c>
    </row>
    <row r="417" customFormat="false" ht="15" hidden="false" customHeight="false" outlineLevel="0" collapsed="false">
      <c r="A417" s="14" t="str">
        <f aca="false">IF(Transações!C417&lt;&gt;"",Transações!C417,"")</f>
        <v/>
      </c>
      <c r="B417" s="14" t="str">
        <f aca="false">IF(Transações!A417&lt;&gt;"",Transações!A417,"")</f>
        <v/>
      </c>
      <c r="C417" s="14" t="str">
        <f aca="false">IF(Transações!B417&lt;&gt;"",Transações!B417,"")</f>
        <v/>
      </c>
      <c r="D417" s="15" t="str">
        <f aca="false">IF(Transações!D417&lt;&gt;"",Transações!D417,"")</f>
        <v/>
      </c>
      <c r="E417" s="16" t="str">
        <f aca="false">IF(Transações!E417&lt;&gt;"",Transações!E417,"")</f>
        <v/>
      </c>
      <c r="F417" s="7" t="str">
        <f aca="false">IF(C417="Compra",D417*E417,IF(C417="Staking",D417*E417,""))</f>
        <v/>
      </c>
      <c r="G417" s="7" t="str">
        <f aca="false">IF(C417="Venda",IF(COUNTIF(A$3:A416,A417)&gt;0,(E417-SUMPRODUCT((A$3:A416=A417)*(C$3:C416="Compra")*F$3:F416)/IF(SUMPRODUCT((A$3:A416=A417)*(C$3:C416="Compra")*D$3:D416)=0,1,SUMPRODUCT((A$3:A416=A417)*(C$3:C416="Compra")*D$3:D416)))*D417,0),"")</f>
        <v/>
      </c>
      <c r="H417" s="7" t="str">
        <f aca="false">IF(C417="Venda",E417*D417,"")</f>
        <v/>
      </c>
    </row>
    <row r="418" customFormat="false" ht="15" hidden="false" customHeight="false" outlineLevel="0" collapsed="false">
      <c r="A418" s="17" t="str">
        <f aca="false">IF(Transações!C418&lt;&gt;"",Transações!C418,"")</f>
        <v/>
      </c>
      <c r="B418" s="17" t="str">
        <f aca="false">IF(Transações!A418&lt;&gt;"",Transações!A418,"")</f>
        <v/>
      </c>
      <c r="C418" s="17" t="str">
        <f aca="false">IF(Transações!B418&lt;&gt;"",Transações!B418,"")</f>
        <v/>
      </c>
      <c r="D418" s="18" t="str">
        <f aca="false">IF(Transações!D418&lt;&gt;"",Transações!D418,"")</f>
        <v/>
      </c>
      <c r="E418" s="19" t="str">
        <f aca="false">IF(Transações!E418&lt;&gt;"",Transações!E418,"")</f>
        <v/>
      </c>
      <c r="F418" s="12" t="str">
        <f aca="false">IF(C418="Compra",D418*E418,IF(C418="Staking",D418*E418,""))</f>
        <v/>
      </c>
      <c r="G418" s="12" t="str">
        <f aca="false">IF(C418="Venda",IF(COUNTIF(A$3:A417,A418)&gt;0,(E418-SUMPRODUCT((A$3:A417=A418)*(C$3:C417="Compra")*F$3:F417)/IF(SUMPRODUCT((A$3:A417=A418)*(C$3:C417="Compra")*D$3:D417)=0,1,SUMPRODUCT((A$3:A417=A418)*(C$3:C417="Compra")*D$3:D417)))*D418,0),"")</f>
        <v/>
      </c>
      <c r="H418" s="12" t="str">
        <f aca="false">IF(C418="Venda",E418*D418,"")</f>
        <v/>
      </c>
    </row>
    <row r="419" customFormat="false" ht="15" hidden="false" customHeight="false" outlineLevel="0" collapsed="false">
      <c r="A419" s="14" t="str">
        <f aca="false">IF(Transações!C419&lt;&gt;"",Transações!C419,"")</f>
        <v/>
      </c>
      <c r="B419" s="14" t="str">
        <f aca="false">IF(Transações!A419&lt;&gt;"",Transações!A419,"")</f>
        <v/>
      </c>
      <c r="C419" s="14" t="str">
        <f aca="false">IF(Transações!B419&lt;&gt;"",Transações!B419,"")</f>
        <v/>
      </c>
      <c r="D419" s="15" t="str">
        <f aca="false">IF(Transações!D419&lt;&gt;"",Transações!D419,"")</f>
        <v/>
      </c>
      <c r="E419" s="16" t="str">
        <f aca="false">IF(Transações!E419&lt;&gt;"",Transações!E419,"")</f>
        <v/>
      </c>
      <c r="F419" s="7" t="str">
        <f aca="false">IF(C419="Compra",D419*E419,IF(C419="Staking",D419*E419,""))</f>
        <v/>
      </c>
      <c r="G419" s="7" t="str">
        <f aca="false">IF(C419="Venda",IF(COUNTIF(A$3:A418,A419)&gt;0,(E419-SUMPRODUCT((A$3:A418=A419)*(C$3:C418="Compra")*F$3:F418)/IF(SUMPRODUCT((A$3:A418=A419)*(C$3:C418="Compra")*D$3:D418)=0,1,SUMPRODUCT((A$3:A418=A419)*(C$3:C418="Compra")*D$3:D418)))*D419,0),"")</f>
        <v/>
      </c>
      <c r="H419" s="7" t="str">
        <f aca="false">IF(C419="Venda",E419*D419,"")</f>
        <v/>
      </c>
    </row>
    <row r="420" customFormat="false" ht="15" hidden="false" customHeight="false" outlineLevel="0" collapsed="false">
      <c r="A420" s="17" t="str">
        <f aca="false">IF(Transações!C420&lt;&gt;"",Transações!C420,"")</f>
        <v/>
      </c>
      <c r="B420" s="17" t="str">
        <f aca="false">IF(Transações!A420&lt;&gt;"",Transações!A420,"")</f>
        <v/>
      </c>
      <c r="C420" s="17" t="str">
        <f aca="false">IF(Transações!B420&lt;&gt;"",Transações!B420,"")</f>
        <v/>
      </c>
      <c r="D420" s="18" t="str">
        <f aca="false">IF(Transações!D420&lt;&gt;"",Transações!D420,"")</f>
        <v/>
      </c>
      <c r="E420" s="19" t="str">
        <f aca="false">IF(Transações!E420&lt;&gt;"",Transações!E420,"")</f>
        <v/>
      </c>
      <c r="F420" s="12" t="str">
        <f aca="false">IF(C420="Compra",D420*E420,IF(C420="Staking",D420*E420,""))</f>
        <v/>
      </c>
      <c r="G420" s="12" t="str">
        <f aca="false">IF(C420="Venda",IF(COUNTIF(A$3:A419,A420)&gt;0,(E420-SUMPRODUCT((A$3:A419=A420)*(C$3:C419="Compra")*F$3:F419)/IF(SUMPRODUCT((A$3:A419=A420)*(C$3:C419="Compra")*D$3:D419)=0,1,SUMPRODUCT((A$3:A419=A420)*(C$3:C419="Compra")*D$3:D419)))*D420,0),"")</f>
        <v/>
      </c>
      <c r="H420" s="12" t="str">
        <f aca="false">IF(C420="Venda",E420*D420,"")</f>
        <v/>
      </c>
    </row>
    <row r="421" customFormat="false" ht="15" hidden="false" customHeight="false" outlineLevel="0" collapsed="false">
      <c r="A421" s="14" t="str">
        <f aca="false">IF(Transações!C421&lt;&gt;"",Transações!C421,"")</f>
        <v/>
      </c>
      <c r="B421" s="14" t="str">
        <f aca="false">IF(Transações!A421&lt;&gt;"",Transações!A421,"")</f>
        <v/>
      </c>
      <c r="C421" s="14" t="str">
        <f aca="false">IF(Transações!B421&lt;&gt;"",Transações!B421,"")</f>
        <v/>
      </c>
      <c r="D421" s="15" t="str">
        <f aca="false">IF(Transações!D421&lt;&gt;"",Transações!D421,"")</f>
        <v/>
      </c>
      <c r="E421" s="16" t="str">
        <f aca="false">IF(Transações!E421&lt;&gt;"",Transações!E421,"")</f>
        <v/>
      </c>
      <c r="F421" s="7" t="str">
        <f aca="false">IF(C421="Compra",D421*E421,IF(C421="Staking",D421*E421,""))</f>
        <v/>
      </c>
      <c r="G421" s="7" t="str">
        <f aca="false">IF(C421="Venda",IF(COUNTIF(A$3:A420,A421)&gt;0,(E421-SUMPRODUCT((A$3:A420=A421)*(C$3:C420="Compra")*F$3:F420)/IF(SUMPRODUCT((A$3:A420=A421)*(C$3:C420="Compra")*D$3:D420)=0,1,SUMPRODUCT((A$3:A420=A421)*(C$3:C420="Compra")*D$3:D420)))*D421,0),"")</f>
        <v/>
      </c>
      <c r="H421" s="7" t="str">
        <f aca="false">IF(C421="Venda",E421*D421,"")</f>
        <v/>
      </c>
    </row>
    <row r="422" customFormat="false" ht="15" hidden="false" customHeight="false" outlineLevel="0" collapsed="false">
      <c r="A422" s="17" t="str">
        <f aca="false">IF(Transações!C422&lt;&gt;"",Transações!C422,"")</f>
        <v/>
      </c>
      <c r="B422" s="17" t="str">
        <f aca="false">IF(Transações!A422&lt;&gt;"",Transações!A422,"")</f>
        <v/>
      </c>
      <c r="C422" s="17" t="str">
        <f aca="false">IF(Transações!B422&lt;&gt;"",Transações!B422,"")</f>
        <v/>
      </c>
      <c r="D422" s="18" t="str">
        <f aca="false">IF(Transações!D422&lt;&gt;"",Transações!D422,"")</f>
        <v/>
      </c>
      <c r="E422" s="19" t="str">
        <f aca="false">IF(Transações!E422&lt;&gt;"",Transações!E422,"")</f>
        <v/>
      </c>
      <c r="F422" s="12" t="str">
        <f aca="false">IF(C422="Compra",D422*E422,IF(C422="Staking",D422*E422,""))</f>
        <v/>
      </c>
      <c r="G422" s="12" t="str">
        <f aca="false">IF(C422="Venda",IF(COUNTIF(A$3:A421,A422)&gt;0,(E422-SUMPRODUCT((A$3:A421=A422)*(C$3:C421="Compra")*F$3:F421)/IF(SUMPRODUCT((A$3:A421=A422)*(C$3:C421="Compra")*D$3:D421)=0,1,SUMPRODUCT((A$3:A421=A422)*(C$3:C421="Compra")*D$3:D421)))*D422,0),"")</f>
        <v/>
      </c>
      <c r="H422" s="12" t="str">
        <f aca="false">IF(C422="Venda",E422*D422,"")</f>
        <v/>
      </c>
    </row>
    <row r="423" customFormat="false" ht="15" hidden="false" customHeight="false" outlineLevel="0" collapsed="false">
      <c r="A423" s="14" t="str">
        <f aca="false">IF(Transações!C423&lt;&gt;"",Transações!C423,"")</f>
        <v/>
      </c>
      <c r="B423" s="14" t="str">
        <f aca="false">IF(Transações!A423&lt;&gt;"",Transações!A423,"")</f>
        <v/>
      </c>
      <c r="C423" s="14" t="str">
        <f aca="false">IF(Transações!B423&lt;&gt;"",Transações!B423,"")</f>
        <v/>
      </c>
      <c r="D423" s="15" t="str">
        <f aca="false">IF(Transações!D423&lt;&gt;"",Transações!D423,"")</f>
        <v/>
      </c>
      <c r="E423" s="16" t="str">
        <f aca="false">IF(Transações!E423&lt;&gt;"",Transações!E423,"")</f>
        <v/>
      </c>
      <c r="F423" s="7" t="str">
        <f aca="false">IF(C423="Compra",D423*E423,IF(C423="Staking",D423*E423,""))</f>
        <v/>
      </c>
      <c r="G423" s="7" t="str">
        <f aca="false">IF(C423="Venda",IF(COUNTIF(A$3:A422,A423)&gt;0,(E423-SUMPRODUCT((A$3:A422=A423)*(C$3:C422="Compra")*F$3:F422)/IF(SUMPRODUCT((A$3:A422=A423)*(C$3:C422="Compra")*D$3:D422)=0,1,SUMPRODUCT((A$3:A422=A423)*(C$3:C422="Compra")*D$3:D422)))*D423,0),"")</f>
        <v/>
      </c>
      <c r="H423" s="7" t="str">
        <f aca="false">IF(C423="Venda",E423*D423,"")</f>
        <v/>
      </c>
    </row>
    <row r="424" customFormat="false" ht="15" hidden="false" customHeight="false" outlineLevel="0" collapsed="false">
      <c r="A424" s="17" t="str">
        <f aca="false">IF(Transações!C424&lt;&gt;"",Transações!C424,"")</f>
        <v/>
      </c>
      <c r="B424" s="17" t="str">
        <f aca="false">IF(Transações!A424&lt;&gt;"",Transações!A424,"")</f>
        <v/>
      </c>
      <c r="C424" s="17" t="str">
        <f aca="false">IF(Transações!B424&lt;&gt;"",Transações!B424,"")</f>
        <v/>
      </c>
      <c r="D424" s="18" t="str">
        <f aca="false">IF(Transações!D424&lt;&gt;"",Transações!D424,"")</f>
        <v/>
      </c>
      <c r="E424" s="19" t="str">
        <f aca="false">IF(Transações!E424&lt;&gt;"",Transações!E424,"")</f>
        <v/>
      </c>
      <c r="F424" s="12" t="str">
        <f aca="false">IF(C424="Compra",D424*E424,IF(C424="Staking",D424*E424,""))</f>
        <v/>
      </c>
      <c r="G424" s="12" t="str">
        <f aca="false">IF(C424="Venda",IF(COUNTIF(A$3:A423,A424)&gt;0,(E424-SUMPRODUCT((A$3:A423=A424)*(C$3:C423="Compra")*F$3:F423)/IF(SUMPRODUCT((A$3:A423=A424)*(C$3:C423="Compra")*D$3:D423)=0,1,SUMPRODUCT((A$3:A423=A424)*(C$3:C423="Compra")*D$3:D423)))*D424,0),"")</f>
        <v/>
      </c>
      <c r="H424" s="12" t="str">
        <f aca="false">IF(C424="Venda",E424*D424,"")</f>
        <v/>
      </c>
    </row>
    <row r="425" customFormat="false" ht="15" hidden="false" customHeight="false" outlineLevel="0" collapsed="false">
      <c r="A425" s="14" t="str">
        <f aca="false">IF(Transações!C425&lt;&gt;"",Transações!C425,"")</f>
        <v/>
      </c>
      <c r="B425" s="14" t="str">
        <f aca="false">IF(Transações!A425&lt;&gt;"",Transações!A425,"")</f>
        <v/>
      </c>
      <c r="C425" s="14" t="str">
        <f aca="false">IF(Transações!B425&lt;&gt;"",Transações!B425,"")</f>
        <v/>
      </c>
      <c r="D425" s="15" t="str">
        <f aca="false">IF(Transações!D425&lt;&gt;"",Transações!D425,"")</f>
        <v/>
      </c>
      <c r="E425" s="16" t="str">
        <f aca="false">IF(Transações!E425&lt;&gt;"",Transações!E425,"")</f>
        <v/>
      </c>
      <c r="F425" s="7" t="str">
        <f aca="false">IF(C425="Compra",D425*E425,IF(C425="Staking",D425*E425,""))</f>
        <v/>
      </c>
      <c r="G425" s="7" t="str">
        <f aca="false">IF(C425="Venda",IF(COUNTIF(A$3:A424,A425)&gt;0,(E425-SUMPRODUCT((A$3:A424=A425)*(C$3:C424="Compra")*F$3:F424)/IF(SUMPRODUCT((A$3:A424=A425)*(C$3:C424="Compra")*D$3:D424)=0,1,SUMPRODUCT((A$3:A424=A425)*(C$3:C424="Compra")*D$3:D424)))*D425,0),"")</f>
        <v/>
      </c>
      <c r="H425" s="7" t="str">
        <f aca="false">IF(C425="Venda",E425*D425,"")</f>
        <v/>
      </c>
    </row>
    <row r="426" customFormat="false" ht="15" hidden="false" customHeight="false" outlineLevel="0" collapsed="false">
      <c r="A426" s="17" t="str">
        <f aca="false">IF(Transações!C426&lt;&gt;"",Transações!C426,"")</f>
        <v/>
      </c>
      <c r="B426" s="17" t="str">
        <f aca="false">IF(Transações!A426&lt;&gt;"",Transações!A426,"")</f>
        <v/>
      </c>
      <c r="C426" s="17" t="str">
        <f aca="false">IF(Transações!B426&lt;&gt;"",Transações!B426,"")</f>
        <v/>
      </c>
      <c r="D426" s="18" t="str">
        <f aca="false">IF(Transações!D426&lt;&gt;"",Transações!D426,"")</f>
        <v/>
      </c>
      <c r="E426" s="19" t="str">
        <f aca="false">IF(Transações!E426&lt;&gt;"",Transações!E426,"")</f>
        <v/>
      </c>
      <c r="F426" s="12" t="str">
        <f aca="false">IF(C426="Compra",D426*E426,IF(C426="Staking",D426*E426,""))</f>
        <v/>
      </c>
      <c r="G426" s="12" t="str">
        <f aca="false">IF(C426="Venda",IF(COUNTIF(A$3:A425,A426)&gt;0,(E426-SUMPRODUCT((A$3:A425=A426)*(C$3:C425="Compra")*F$3:F425)/IF(SUMPRODUCT((A$3:A425=A426)*(C$3:C425="Compra")*D$3:D425)=0,1,SUMPRODUCT((A$3:A425=A426)*(C$3:C425="Compra")*D$3:D425)))*D426,0),"")</f>
        <v/>
      </c>
      <c r="H426" s="12" t="str">
        <f aca="false">IF(C426="Venda",E426*D426,"")</f>
        <v/>
      </c>
    </row>
    <row r="427" customFormat="false" ht="15" hidden="false" customHeight="false" outlineLevel="0" collapsed="false">
      <c r="A427" s="14" t="str">
        <f aca="false">IF(Transações!C427&lt;&gt;"",Transações!C427,"")</f>
        <v/>
      </c>
      <c r="B427" s="14" t="str">
        <f aca="false">IF(Transações!A427&lt;&gt;"",Transações!A427,"")</f>
        <v/>
      </c>
      <c r="C427" s="14" t="str">
        <f aca="false">IF(Transações!B427&lt;&gt;"",Transações!B427,"")</f>
        <v/>
      </c>
      <c r="D427" s="15" t="str">
        <f aca="false">IF(Transações!D427&lt;&gt;"",Transações!D427,"")</f>
        <v/>
      </c>
      <c r="E427" s="16" t="str">
        <f aca="false">IF(Transações!E427&lt;&gt;"",Transações!E427,"")</f>
        <v/>
      </c>
      <c r="F427" s="7" t="str">
        <f aca="false">IF(C427="Compra",D427*E427,IF(C427="Staking",D427*E427,""))</f>
        <v/>
      </c>
      <c r="G427" s="7" t="str">
        <f aca="false">IF(C427="Venda",IF(COUNTIF(A$3:A426,A427)&gt;0,(E427-SUMPRODUCT((A$3:A426=A427)*(C$3:C426="Compra")*F$3:F426)/IF(SUMPRODUCT((A$3:A426=A427)*(C$3:C426="Compra")*D$3:D426)=0,1,SUMPRODUCT((A$3:A426=A427)*(C$3:C426="Compra")*D$3:D426)))*D427,0),"")</f>
        <v/>
      </c>
      <c r="H427" s="7" t="str">
        <f aca="false">IF(C427="Venda",E427*D427,"")</f>
        <v/>
      </c>
    </row>
    <row r="428" customFormat="false" ht="15" hidden="false" customHeight="false" outlineLevel="0" collapsed="false">
      <c r="A428" s="17" t="str">
        <f aca="false">IF(Transações!C428&lt;&gt;"",Transações!C428,"")</f>
        <v/>
      </c>
      <c r="B428" s="17" t="str">
        <f aca="false">IF(Transações!A428&lt;&gt;"",Transações!A428,"")</f>
        <v/>
      </c>
      <c r="C428" s="17" t="str">
        <f aca="false">IF(Transações!B428&lt;&gt;"",Transações!B428,"")</f>
        <v/>
      </c>
      <c r="D428" s="18" t="str">
        <f aca="false">IF(Transações!D428&lt;&gt;"",Transações!D428,"")</f>
        <v/>
      </c>
      <c r="E428" s="19" t="str">
        <f aca="false">IF(Transações!E428&lt;&gt;"",Transações!E428,"")</f>
        <v/>
      </c>
      <c r="F428" s="12" t="str">
        <f aca="false">IF(C428="Compra",D428*E428,IF(C428="Staking",D428*E428,""))</f>
        <v/>
      </c>
      <c r="G428" s="12" t="str">
        <f aca="false">IF(C428="Venda",IF(COUNTIF(A$3:A427,A428)&gt;0,(E428-SUMPRODUCT((A$3:A427=A428)*(C$3:C427="Compra")*F$3:F427)/IF(SUMPRODUCT((A$3:A427=A428)*(C$3:C427="Compra")*D$3:D427)=0,1,SUMPRODUCT((A$3:A427=A428)*(C$3:C427="Compra")*D$3:D427)))*D428,0),"")</f>
        <v/>
      </c>
      <c r="H428" s="12" t="str">
        <f aca="false">IF(C428="Venda",E428*D428,"")</f>
        <v/>
      </c>
    </row>
    <row r="429" customFormat="false" ht="15" hidden="false" customHeight="false" outlineLevel="0" collapsed="false">
      <c r="A429" s="14" t="str">
        <f aca="false">IF(Transações!C429&lt;&gt;"",Transações!C429,"")</f>
        <v/>
      </c>
      <c r="B429" s="14" t="str">
        <f aca="false">IF(Transações!A429&lt;&gt;"",Transações!A429,"")</f>
        <v/>
      </c>
      <c r="C429" s="14" t="str">
        <f aca="false">IF(Transações!B429&lt;&gt;"",Transações!B429,"")</f>
        <v/>
      </c>
      <c r="D429" s="15" t="str">
        <f aca="false">IF(Transações!D429&lt;&gt;"",Transações!D429,"")</f>
        <v/>
      </c>
      <c r="E429" s="16" t="str">
        <f aca="false">IF(Transações!E429&lt;&gt;"",Transações!E429,"")</f>
        <v/>
      </c>
      <c r="F429" s="7" t="str">
        <f aca="false">IF(C429="Compra",D429*E429,IF(C429="Staking",D429*E429,""))</f>
        <v/>
      </c>
      <c r="G429" s="7" t="str">
        <f aca="false">IF(C429="Venda",IF(COUNTIF(A$3:A428,A429)&gt;0,(E429-SUMPRODUCT((A$3:A428=A429)*(C$3:C428="Compra")*F$3:F428)/IF(SUMPRODUCT((A$3:A428=A429)*(C$3:C428="Compra")*D$3:D428)=0,1,SUMPRODUCT((A$3:A428=A429)*(C$3:C428="Compra")*D$3:D428)))*D429,0),"")</f>
        <v/>
      </c>
      <c r="H429" s="7" t="str">
        <f aca="false">IF(C429="Venda",E429*D429,"")</f>
        <v/>
      </c>
    </row>
    <row r="430" customFormat="false" ht="15" hidden="false" customHeight="false" outlineLevel="0" collapsed="false">
      <c r="A430" s="17" t="str">
        <f aca="false">IF(Transações!C430&lt;&gt;"",Transações!C430,"")</f>
        <v/>
      </c>
      <c r="B430" s="17" t="str">
        <f aca="false">IF(Transações!A430&lt;&gt;"",Transações!A430,"")</f>
        <v/>
      </c>
      <c r="C430" s="17" t="str">
        <f aca="false">IF(Transações!B430&lt;&gt;"",Transações!B430,"")</f>
        <v/>
      </c>
      <c r="D430" s="18" t="str">
        <f aca="false">IF(Transações!D430&lt;&gt;"",Transações!D430,"")</f>
        <v/>
      </c>
      <c r="E430" s="19" t="str">
        <f aca="false">IF(Transações!E430&lt;&gt;"",Transações!E430,"")</f>
        <v/>
      </c>
      <c r="F430" s="12" t="str">
        <f aca="false">IF(C430="Compra",D430*E430,IF(C430="Staking",D430*E430,""))</f>
        <v/>
      </c>
      <c r="G430" s="12" t="str">
        <f aca="false">IF(C430="Venda",IF(COUNTIF(A$3:A429,A430)&gt;0,(E430-SUMPRODUCT((A$3:A429=A430)*(C$3:C429="Compra")*F$3:F429)/IF(SUMPRODUCT((A$3:A429=A430)*(C$3:C429="Compra")*D$3:D429)=0,1,SUMPRODUCT((A$3:A429=A430)*(C$3:C429="Compra")*D$3:D429)))*D430,0),"")</f>
        <v/>
      </c>
      <c r="H430" s="12" t="str">
        <f aca="false">IF(C430="Venda",E430*D430,"")</f>
        <v/>
      </c>
    </row>
    <row r="431" customFormat="false" ht="15" hidden="false" customHeight="false" outlineLevel="0" collapsed="false">
      <c r="A431" s="14" t="str">
        <f aca="false">IF(Transações!C431&lt;&gt;"",Transações!C431,"")</f>
        <v/>
      </c>
      <c r="B431" s="14" t="str">
        <f aca="false">IF(Transações!A431&lt;&gt;"",Transações!A431,"")</f>
        <v/>
      </c>
      <c r="C431" s="14" t="str">
        <f aca="false">IF(Transações!B431&lt;&gt;"",Transações!B431,"")</f>
        <v/>
      </c>
      <c r="D431" s="15" t="str">
        <f aca="false">IF(Transações!D431&lt;&gt;"",Transações!D431,"")</f>
        <v/>
      </c>
      <c r="E431" s="16" t="str">
        <f aca="false">IF(Transações!E431&lt;&gt;"",Transações!E431,"")</f>
        <v/>
      </c>
      <c r="F431" s="7" t="str">
        <f aca="false">IF(C431="Compra",D431*E431,IF(C431="Staking",D431*E431,""))</f>
        <v/>
      </c>
      <c r="G431" s="7" t="str">
        <f aca="false">IF(C431="Venda",IF(COUNTIF(A$3:A430,A431)&gt;0,(E431-SUMPRODUCT((A$3:A430=A431)*(C$3:C430="Compra")*F$3:F430)/IF(SUMPRODUCT((A$3:A430=A431)*(C$3:C430="Compra")*D$3:D430)=0,1,SUMPRODUCT((A$3:A430=A431)*(C$3:C430="Compra")*D$3:D430)))*D431,0),"")</f>
        <v/>
      </c>
      <c r="H431" s="7" t="str">
        <f aca="false">IF(C431="Venda",E431*D431,"")</f>
        <v/>
      </c>
    </row>
    <row r="432" customFormat="false" ht="15" hidden="false" customHeight="false" outlineLevel="0" collapsed="false">
      <c r="A432" s="17" t="str">
        <f aca="false">IF(Transações!C432&lt;&gt;"",Transações!C432,"")</f>
        <v/>
      </c>
      <c r="B432" s="17" t="str">
        <f aca="false">IF(Transações!A432&lt;&gt;"",Transações!A432,"")</f>
        <v/>
      </c>
      <c r="C432" s="17" t="str">
        <f aca="false">IF(Transações!B432&lt;&gt;"",Transações!B432,"")</f>
        <v/>
      </c>
      <c r="D432" s="18" t="str">
        <f aca="false">IF(Transações!D432&lt;&gt;"",Transações!D432,"")</f>
        <v/>
      </c>
      <c r="E432" s="19" t="str">
        <f aca="false">IF(Transações!E432&lt;&gt;"",Transações!E432,"")</f>
        <v/>
      </c>
      <c r="F432" s="12" t="str">
        <f aca="false">IF(C432="Compra",D432*E432,IF(C432="Staking",D432*E432,""))</f>
        <v/>
      </c>
      <c r="G432" s="12" t="str">
        <f aca="false">IF(C432="Venda",IF(COUNTIF(A$3:A431,A432)&gt;0,(E432-SUMPRODUCT((A$3:A431=A432)*(C$3:C431="Compra")*F$3:F431)/IF(SUMPRODUCT((A$3:A431=A432)*(C$3:C431="Compra")*D$3:D431)=0,1,SUMPRODUCT((A$3:A431=A432)*(C$3:C431="Compra")*D$3:D431)))*D432,0),"")</f>
        <v/>
      </c>
      <c r="H432" s="12" t="str">
        <f aca="false">IF(C432="Venda",E432*D432,"")</f>
        <v/>
      </c>
    </row>
    <row r="433" customFormat="false" ht="15" hidden="false" customHeight="false" outlineLevel="0" collapsed="false">
      <c r="A433" s="14" t="str">
        <f aca="false">IF(Transações!C433&lt;&gt;"",Transações!C433,"")</f>
        <v/>
      </c>
      <c r="B433" s="14" t="str">
        <f aca="false">IF(Transações!A433&lt;&gt;"",Transações!A433,"")</f>
        <v/>
      </c>
      <c r="C433" s="14" t="str">
        <f aca="false">IF(Transações!B433&lt;&gt;"",Transações!B433,"")</f>
        <v/>
      </c>
      <c r="D433" s="15" t="str">
        <f aca="false">IF(Transações!D433&lt;&gt;"",Transações!D433,"")</f>
        <v/>
      </c>
      <c r="E433" s="16" t="str">
        <f aca="false">IF(Transações!E433&lt;&gt;"",Transações!E433,"")</f>
        <v/>
      </c>
      <c r="F433" s="7" t="str">
        <f aca="false">IF(C433="Compra",D433*E433,IF(C433="Staking",D433*E433,""))</f>
        <v/>
      </c>
      <c r="G433" s="7" t="str">
        <f aca="false">IF(C433="Venda",IF(COUNTIF(A$3:A432,A433)&gt;0,(E433-SUMPRODUCT((A$3:A432=A433)*(C$3:C432="Compra")*F$3:F432)/IF(SUMPRODUCT((A$3:A432=A433)*(C$3:C432="Compra")*D$3:D432)=0,1,SUMPRODUCT((A$3:A432=A433)*(C$3:C432="Compra")*D$3:D432)))*D433,0),"")</f>
        <v/>
      </c>
      <c r="H433" s="7" t="str">
        <f aca="false">IF(C433="Venda",E433*D433,"")</f>
        <v/>
      </c>
    </row>
    <row r="434" customFormat="false" ht="15" hidden="false" customHeight="false" outlineLevel="0" collapsed="false">
      <c r="A434" s="17" t="str">
        <f aca="false">IF(Transações!C434&lt;&gt;"",Transações!C434,"")</f>
        <v/>
      </c>
      <c r="B434" s="17" t="str">
        <f aca="false">IF(Transações!A434&lt;&gt;"",Transações!A434,"")</f>
        <v/>
      </c>
      <c r="C434" s="17" t="str">
        <f aca="false">IF(Transações!B434&lt;&gt;"",Transações!B434,"")</f>
        <v/>
      </c>
      <c r="D434" s="18" t="str">
        <f aca="false">IF(Transações!D434&lt;&gt;"",Transações!D434,"")</f>
        <v/>
      </c>
      <c r="E434" s="19" t="str">
        <f aca="false">IF(Transações!E434&lt;&gt;"",Transações!E434,"")</f>
        <v/>
      </c>
      <c r="F434" s="12" t="str">
        <f aca="false">IF(C434="Compra",D434*E434,IF(C434="Staking",D434*E434,""))</f>
        <v/>
      </c>
      <c r="G434" s="12" t="str">
        <f aca="false">IF(C434="Venda",IF(COUNTIF(A$3:A433,A434)&gt;0,(E434-SUMPRODUCT((A$3:A433=A434)*(C$3:C433="Compra")*F$3:F433)/IF(SUMPRODUCT((A$3:A433=A434)*(C$3:C433="Compra")*D$3:D433)=0,1,SUMPRODUCT((A$3:A433=A434)*(C$3:C433="Compra")*D$3:D433)))*D434,0),"")</f>
        <v/>
      </c>
      <c r="H434" s="12" t="str">
        <f aca="false">IF(C434="Venda",E434*D434,"")</f>
        <v/>
      </c>
    </row>
    <row r="435" customFormat="false" ht="15" hidden="false" customHeight="false" outlineLevel="0" collapsed="false">
      <c r="A435" s="14" t="str">
        <f aca="false">IF(Transações!C435&lt;&gt;"",Transações!C435,"")</f>
        <v/>
      </c>
      <c r="B435" s="14" t="str">
        <f aca="false">IF(Transações!A435&lt;&gt;"",Transações!A435,"")</f>
        <v/>
      </c>
      <c r="C435" s="14" t="str">
        <f aca="false">IF(Transações!B435&lt;&gt;"",Transações!B435,"")</f>
        <v/>
      </c>
      <c r="D435" s="15" t="str">
        <f aca="false">IF(Transações!D435&lt;&gt;"",Transações!D435,"")</f>
        <v/>
      </c>
      <c r="E435" s="16" t="str">
        <f aca="false">IF(Transações!E435&lt;&gt;"",Transações!E435,"")</f>
        <v/>
      </c>
      <c r="F435" s="7" t="str">
        <f aca="false">IF(C435="Compra",D435*E435,IF(C435="Staking",D435*E435,""))</f>
        <v/>
      </c>
      <c r="G435" s="7" t="str">
        <f aca="false">IF(C435="Venda",IF(COUNTIF(A$3:A434,A435)&gt;0,(E435-SUMPRODUCT((A$3:A434=A435)*(C$3:C434="Compra")*F$3:F434)/IF(SUMPRODUCT((A$3:A434=A435)*(C$3:C434="Compra")*D$3:D434)=0,1,SUMPRODUCT((A$3:A434=A435)*(C$3:C434="Compra")*D$3:D434)))*D435,0),"")</f>
        <v/>
      </c>
      <c r="H435" s="7" t="str">
        <f aca="false">IF(C435="Venda",E435*D435,"")</f>
        <v/>
      </c>
    </row>
    <row r="436" customFormat="false" ht="15" hidden="false" customHeight="false" outlineLevel="0" collapsed="false">
      <c r="A436" s="17" t="str">
        <f aca="false">IF(Transações!C436&lt;&gt;"",Transações!C436,"")</f>
        <v/>
      </c>
      <c r="B436" s="17" t="str">
        <f aca="false">IF(Transações!A436&lt;&gt;"",Transações!A436,"")</f>
        <v/>
      </c>
      <c r="C436" s="17" t="str">
        <f aca="false">IF(Transações!B436&lt;&gt;"",Transações!B436,"")</f>
        <v/>
      </c>
      <c r="D436" s="18" t="str">
        <f aca="false">IF(Transações!D436&lt;&gt;"",Transações!D436,"")</f>
        <v/>
      </c>
      <c r="E436" s="19" t="str">
        <f aca="false">IF(Transações!E436&lt;&gt;"",Transações!E436,"")</f>
        <v/>
      </c>
      <c r="F436" s="12" t="str">
        <f aca="false">IF(C436="Compra",D436*E436,IF(C436="Staking",D436*E436,""))</f>
        <v/>
      </c>
      <c r="G436" s="12" t="str">
        <f aca="false">IF(C436="Venda",IF(COUNTIF(A$3:A435,A436)&gt;0,(E436-SUMPRODUCT((A$3:A435=A436)*(C$3:C435="Compra")*F$3:F435)/IF(SUMPRODUCT((A$3:A435=A436)*(C$3:C435="Compra")*D$3:D435)=0,1,SUMPRODUCT((A$3:A435=A436)*(C$3:C435="Compra")*D$3:D435)))*D436,0),"")</f>
        <v/>
      </c>
      <c r="H436" s="12" t="str">
        <f aca="false">IF(C436="Venda",E436*D436,"")</f>
        <v/>
      </c>
    </row>
    <row r="437" customFormat="false" ht="15" hidden="false" customHeight="false" outlineLevel="0" collapsed="false">
      <c r="A437" s="14" t="str">
        <f aca="false">IF(Transações!C437&lt;&gt;"",Transações!C437,"")</f>
        <v/>
      </c>
      <c r="B437" s="14" t="str">
        <f aca="false">IF(Transações!A437&lt;&gt;"",Transações!A437,"")</f>
        <v/>
      </c>
      <c r="C437" s="14" t="str">
        <f aca="false">IF(Transações!B437&lt;&gt;"",Transações!B437,"")</f>
        <v/>
      </c>
      <c r="D437" s="15" t="str">
        <f aca="false">IF(Transações!D437&lt;&gt;"",Transações!D437,"")</f>
        <v/>
      </c>
      <c r="E437" s="16" t="str">
        <f aca="false">IF(Transações!E437&lt;&gt;"",Transações!E437,"")</f>
        <v/>
      </c>
      <c r="F437" s="7" t="str">
        <f aca="false">IF(C437="Compra",D437*E437,IF(C437="Staking",D437*E437,""))</f>
        <v/>
      </c>
      <c r="G437" s="7" t="str">
        <f aca="false">IF(C437="Venda",IF(COUNTIF(A$3:A436,A437)&gt;0,(E437-SUMPRODUCT((A$3:A436=A437)*(C$3:C436="Compra")*F$3:F436)/IF(SUMPRODUCT((A$3:A436=A437)*(C$3:C436="Compra")*D$3:D436)=0,1,SUMPRODUCT((A$3:A436=A437)*(C$3:C436="Compra")*D$3:D436)))*D437,0),"")</f>
        <v/>
      </c>
      <c r="H437" s="7" t="str">
        <f aca="false">IF(C437="Venda",E437*D437,"")</f>
        <v/>
      </c>
    </row>
    <row r="438" customFormat="false" ht="15" hidden="false" customHeight="false" outlineLevel="0" collapsed="false">
      <c r="A438" s="17" t="str">
        <f aca="false">IF(Transações!C438&lt;&gt;"",Transações!C438,"")</f>
        <v/>
      </c>
      <c r="B438" s="17" t="str">
        <f aca="false">IF(Transações!A438&lt;&gt;"",Transações!A438,"")</f>
        <v/>
      </c>
      <c r="C438" s="17" t="str">
        <f aca="false">IF(Transações!B438&lt;&gt;"",Transações!B438,"")</f>
        <v/>
      </c>
      <c r="D438" s="18" t="str">
        <f aca="false">IF(Transações!D438&lt;&gt;"",Transações!D438,"")</f>
        <v/>
      </c>
      <c r="E438" s="19" t="str">
        <f aca="false">IF(Transações!E438&lt;&gt;"",Transações!E438,"")</f>
        <v/>
      </c>
      <c r="F438" s="12" t="str">
        <f aca="false">IF(C438="Compra",D438*E438,IF(C438="Staking",D438*E438,""))</f>
        <v/>
      </c>
      <c r="G438" s="12" t="str">
        <f aca="false">IF(C438="Venda",IF(COUNTIF(A$3:A437,A438)&gt;0,(E438-SUMPRODUCT((A$3:A437=A438)*(C$3:C437="Compra")*F$3:F437)/IF(SUMPRODUCT((A$3:A437=A438)*(C$3:C437="Compra")*D$3:D437)=0,1,SUMPRODUCT((A$3:A437=A438)*(C$3:C437="Compra")*D$3:D437)))*D438,0),"")</f>
        <v/>
      </c>
      <c r="H438" s="12" t="str">
        <f aca="false">IF(C438="Venda",E438*D438,"")</f>
        <v/>
      </c>
    </row>
    <row r="439" customFormat="false" ht="15" hidden="false" customHeight="false" outlineLevel="0" collapsed="false">
      <c r="A439" s="14" t="str">
        <f aca="false">IF(Transações!C439&lt;&gt;"",Transações!C439,"")</f>
        <v/>
      </c>
      <c r="B439" s="14" t="str">
        <f aca="false">IF(Transações!A439&lt;&gt;"",Transações!A439,"")</f>
        <v/>
      </c>
      <c r="C439" s="14" t="str">
        <f aca="false">IF(Transações!B439&lt;&gt;"",Transações!B439,"")</f>
        <v/>
      </c>
      <c r="D439" s="15" t="str">
        <f aca="false">IF(Transações!D439&lt;&gt;"",Transações!D439,"")</f>
        <v/>
      </c>
      <c r="E439" s="16" t="str">
        <f aca="false">IF(Transações!E439&lt;&gt;"",Transações!E439,"")</f>
        <v/>
      </c>
      <c r="F439" s="7" t="str">
        <f aca="false">IF(C439="Compra",D439*E439,IF(C439="Staking",D439*E439,""))</f>
        <v/>
      </c>
      <c r="G439" s="7" t="str">
        <f aca="false">IF(C439="Venda",IF(COUNTIF(A$3:A438,A439)&gt;0,(E439-SUMPRODUCT((A$3:A438=A439)*(C$3:C438="Compra")*F$3:F438)/IF(SUMPRODUCT((A$3:A438=A439)*(C$3:C438="Compra")*D$3:D438)=0,1,SUMPRODUCT((A$3:A438=A439)*(C$3:C438="Compra")*D$3:D438)))*D439,0),"")</f>
        <v/>
      </c>
      <c r="H439" s="7" t="str">
        <f aca="false">IF(C439="Venda",E439*D439,"")</f>
        <v/>
      </c>
    </row>
    <row r="440" customFormat="false" ht="15" hidden="false" customHeight="false" outlineLevel="0" collapsed="false">
      <c r="A440" s="17" t="str">
        <f aca="false">IF(Transações!C440&lt;&gt;"",Transações!C440,"")</f>
        <v/>
      </c>
      <c r="B440" s="17" t="str">
        <f aca="false">IF(Transações!A440&lt;&gt;"",Transações!A440,"")</f>
        <v/>
      </c>
      <c r="C440" s="17" t="str">
        <f aca="false">IF(Transações!B440&lt;&gt;"",Transações!B440,"")</f>
        <v/>
      </c>
      <c r="D440" s="18" t="str">
        <f aca="false">IF(Transações!D440&lt;&gt;"",Transações!D440,"")</f>
        <v/>
      </c>
      <c r="E440" s="19" t="str">
        <f aca="false">IF(Transações!E440&lt;&gt;"",Transações!E440,"")</f>
        <v/>
      </c>
      <c r="F440" s="12" t="str">
        <f aca="false">IF(C440="Compra",D440*E440,IF(C440="Staking",D440*E440,""))</f>
        <v/>
      </c>
      <c r="G440" s="12" t="str">
        <f aca="false">IF(C440="Venda",IF(COUNTIF(A$3:A439,A440)&gt;0,(E440-SUMPRODUCT((A$3:A439=A440)*(C$3:C439="Compra")*F$3:F439)/IF(SUMPRODUCT((A$3:A439=A440)*(C$3:C439="Compra")*D$3:D439)=0,1,SUMPRODUCT((A$3:A439=A440)*(C$3:C439="Compra")*D$3:D439)))*D440,0),"")</f>
        <v/>
      </c>
      <c r="H440" s="12" t="str">
        <f aca="false">IF(C440="Venda",E440*D440,"")</f>
        <v/>
      </c>
    </row>
    <row r="441" customFormat="false" ht="15" hidden="false" customHeight="false" outlineLevel="0" collapsed="false">
      <c r="A441" s="14" t="str">
        <f aca="false">IF(Transações!C441&lt;&gt;"",Transações!C441,"")</f>
        <v/>
      </c>
      <c r="B441" s="14" t="str">
        <f aca="false">IF(Transações!A441&lt;&gt;"",Transações!A441,"")</f>
        <v/>
      </c>
      <c r="C441" s="14" t="str">
        <f aca="false">IF(Transações!B441&lt;&gt;"",Transações!B441,"")</f>
        <v/>
      </c>
      <c r="D441" s="15" t="str">
        <f aca="false">IF(Transações!D441&lt;&gt;"",Transações!D441,"")</f>
        <v/>
      </c>
      <c r="E441" s="16" t="str">
        <f aca="false">IF(Transações!E441&lt;&gt;"",Transações!E441,"")</f>
        <v/>
      </c>
      <c r="F441" s="7" t="str">
        <f aca="false">IF(C441="Compra",D441*E441,IF(C441="Staking",D441*E441,""))</f>
        <v/>
      </c>
      <c r="G441" s="7" t="str">
        <f aca="false">IF(C441="Venda",IF(COUNTIF(A$3:A440,A441)&gt;0,(E441-SUMPRODUCT((A$3:A440=A441)*(C$3:C440="Compra")*F$3:F440)/IF(SUMPRODUCT((A$3:A440=A441)*(C$3:C440="Compra")*D$3:D440)=0,1,SUMPRODUCT((A$3:A440=A441)*(C$3:C440="Compra")*D$3:D440)))*D441,0),"")</f>
        <v/>
      </c>
      <c r="H441" s="7" t="str">
        <f aca="false">IF(C441="Venda",E441*D441,"")</f>
        <v/>
      </c>
    </row>
    <row r="442" customFormat="false" ht="15" hidden="false" customHeight="false" outlineLevel="0" collapsed="false">
      <c r="A442" s="17" t="str">
        <f aca="false">IF(Transações!C442&lt;&gt;"",Transações!C442,"")</f>
        <v/>
      </c>
      <c r="B442" s="17" t="str">
        <f aca="false">IF(Transações!A442&lt;&gt;"",Transações!A442,"")</f>
        <v/>
      </c>
      <c r="C442" s="17" t="str">
        <f aca="false">IF(Transações!B442&lt;&gt;"",Transações!B442,"")</f>
        <v/>
      </c>
      <c r="D442" s="18" t="str">
        <f aca="false">IF(Transações!D442&lt;&gt;"",Transações!D442,"")</f>
        <v/>
      </c>
      <c r="E442" s="19" t="str">
        <f aca="false">IF(Transações!E442&lt;&gt;"",Transações!E442,"")</f>
        <v/>
      </c>
      <c r="F442" s="12" t="str">
        <f aca="false">IF(C442="Compra",D442*E442,IF(C442="Staking",D442*E442,""))</f>
        <v/>
      </c>
      <c r="G442" s="12" t="str">
        <f aca="false">IF(C442="Venda",IF(COUNTIF(A$3:A441,A442)&gt;0,(E442-SUMPRODUCT((A$3:A441=A442)*(C$3:C441="Compra")*F$3:F441)/IF(SUMPRODUCT((A$3:A441=A442)*(C$3:C441="Compra")*D$3:D441)=0,1,SUMPRODUCT((A$3:A441=A442)*(C$3:C441="Compra")*D$3:D441)))*D442,0),"")</f>
        <v/>
      </c>
      <c r="H442" s="12" t="str">
        <f aca="false">IF(C442="Venda",E442*D442,"")</f>
        <v/>
      </c>
    </row>
    <row r="443" customFormat="false" ht="15" hidden="false" customHeight="false" outlineLevel="0" collapsed="false">
      <c r="A443" s="14" t="str">
        <f aca="false">IF(Transações!C443&lt;&gt;"",Transações!C443,"")</f>
        <v/>
      </c>
      <c r="B443" s="14" t="str">
        <f aca="false">IF(Transações!A443&lt;&gt;"",Transações!A443,"")</f>
        <v/>
      </c>
      <c r="C443" s="14" t="str">
        <f aca="false">IF(Transações!B443&lt;&gt;"",Transações!B443,"")</f>
        <v/>
      </c>
      <c r="D443" s="15" t="str">
        <f aca="false">IF(Transações!D443&lt;&gt;"",Transações!D443,"")</f>
        <v/>
      </c>
      <c r="E443" s="16" t="str">
        <f aca="false">IF(Transações!E443&lt;&gt;"",Transações!E443,"")</f>
        <v/>
      </c>
      <c r="F443" s="7" t="str">
        <f aca="false">IF(C443="Compra",D443*E443,IF(C443="Staking",D443*E443,""))</f>
        <v/>
      </c>
      <c r="G443" s="7" t="str">
        <f aca="false">IF(C443="Venda",IF(COUNTIF(A$3:A442,A443)&gt;0,(E443-SUMPRODUCT((A$3:A442=A443)*(C$3:C442="Compra")*F$3:F442)/IF(SUMPRODUCT((A$3:A442=A443)*(C$3:C442="Compra")*D$3:D442)=0,1,SUMPRODUCT((A$3:A442=A443)*(C$3:C442="Compra")*D$3:D442)))*D443,0),"")</f>
        <v/>
      </c>
      <c r="H443" s="7" t="str">
        <f aca="false">IF(C443="Venda",E443*D443,"")</f>
        <v/>
      </c>
    </row>
    <row r="444" customFormat="false" ht="15" hidden="false" customHeight="false" outlineLevel="0" collapsed="false">
      <c r="A444" s="17" t="str">
        <f aca="false">IF(Transações!C444&lt;&gt;"",Transações!C444,"")</f>
        <v/>
      </c>
      <c r="B444" s="17" t="str">
        <f aca="false">IF(Transações!A444&lt;&gt;"",Transações!A444,"")</f>
        <v/>
      </c>
      <c r="C444" s="17" t="str">
        <f aca="false">IF(Transações!B444&lt;&gt;"",Transações!B444,"")</f>
        <v/>
      </c>
      <c r="D444" s="18" t="str">
        <f aca="false">IF(Transações!D444&lt;&gt;"",Transações!D444,"")</f>
        <v/>
      </c>
      <c r="E444" s="19" t="str">
        <f aca="false">IF(Transações!E444&lt;&gt;"",Transações!E444,"")</f>
        <v/>
      </c>
      <c r="F444" s="12" t="str">
        <f aca="false">IF(C444="Compra",D444*E444,IF(C444="Staking",D444*E444,""))</f>
        <v/>
      </c>
      <c r="G444" s="12" t="str">
        <f aca="false">IF(C444="Venda",IF(COUNTIF(A$3:A443,A444)&gt;0,(E444-SUMPRODUCT((A$3:A443=A444)*(C$3:C443="Compra")*F$3:F443)/IF(SUMPRODUCT((A$3:A443=A444)*(C$3:C443="Compra")*D$3:D443)=0,1,SUMPRODUCT((A$3:A443=A444)*(C$3:C443="Compra")*D$3:D443)))*D444,0),"")</f>
        <v/>
      </c>
      <c r="H444" s="12" t="str">
        <f aca="false">IF(C444="Venda",E444*D444,"")</f>
        <v/>
      </c>
    </row>
    <row r="445" customFormat="false" ht="15" hidden="false" customHeight="false" outlineLevel="0" collapsed="false">
      <c r="A445" s="14" t="str">
        <f aca="false">IF(Transações!C445&lt;&gt;"",Transações!C445,"")</f>
        <v/>
      </c>
      <c r="B445" s="14" t="str">
        <f aca="false">IF(Transações!A445&lt;&gt;"",Transações!A445,"")</f>
        <v/>
      </c>
      <c r="C445" s="14" t="str">
        <f aca="false">IF(Transações!B445&lt;&gt;"",Transações!B445,"")</f>
        <v/>
      </c>
      <c r="D445" s="15" t="str">
        <f aca="false">IF(Transações!D445&lt;&gt;"",Transações!D445,"")</f>
        <v/>
      </c>
      <c r="E445" s="16" t="str">
        <f aca="false">IF(Transações!E445&lt;&gt;"",Transações!E445,"")</f>
        <v/>
      </c>
      <c r="F445" s="7" t="str">
        <f aca="false">IF(C445="Compra",D445*E445,IF(C445="Staking",D445*E445,""))</f>
        <v/>
      </c>
      <c r="G445" s="7" t="str">
        <f aca="false">IF(C445="Venda",IF(COUNTIF(A$3:A444,A445)&gt;0,(E445-SUMPRODUCT((A$3:A444=A445)*(C$3:C444="Compra")*F$3:F444)/IF(SUMPRODUCT((A$3:A444=A445)*(C$3:C444="Compra")*D$3:D444)=0,1,SUMPRODUCT((A$3:A444=A445)*(C$3:C444="Compra")*D$3:D444)))*D445,0),"")</f>
        <v/>
      </c>
      <c r="H445" s="7" t="str">
        <f aca="false">IF(C445="Venda",E445*D445,"")</f>
        <v/>
      </c>
    </row>
    <row r="446" customFormat="false" ht="15" hidden="false" customHeight="false" outlineLevel="0" collapsed="false">
      <c r="A446" s="17" t="str">
        <f aca="false">IF(Transações!C446&lt;&gt;"",Transações!C446,"")</f>
        <v/>
      </c>
      <c r="B446" s="17" t="str">
        <f aca="false">IF(Transações!A446&lt;&gt;"",Transações!A446,"")</f>
        <v/>
      </c>
      <c r="C446" s="17" t="str">
        <f aca="false">IF(Transações!B446&lt;&gt;"",Transações!B446,"")</f>
        <v/>
      </c>
      <c r="D446" s="18" t="str">
        <f aca="false">IF(Transações!D446&lt;&gt;"",Transações!D446,"")</f>
        <v/>
      </c>
      <c r="E446" s="19" t="str">
        <f aca="false">IF(Transações!E446&lt;&gt;"",Transações!E446,"")</f>
        <v/>
      </c>
      <c r="F446" s="12" t="str">
        <f aca="false">IF(C446="Compra",D446*E446,IF(C446="Staking",D446*E446,""))</f>
        <v/>
      </c>
      <c r="G446" s="12" t="str">
        <f aca="false">IF(C446="Venda",IF(COUNTIF(A$3:A445,A446)&gt;0,(E446-SUMPRODUCT((A$3:A445=A446)*(C$3:C445="Compra")*F$3:F445)/IF(SUMPRODUCT((A$3:A445=A446)*(C$3:C445="Compra")*D$3:D445)=0,1,SUMPRODUCT((A$3:A445=A446)*(C$3:C445="Compra")*D$3:D445)))*D446,0),"")</f>
        <v/>
      </c>
      <c r="H446" s="12" t="str">
        <f aca="false">IF(C446="Venda",E446*D446,"")</f>
        <v/>
      </c>
    </row>
    <row r="447" customFormat="false" ht="15" hidden="false" customHeight="false" outlineLevel="0" collapsed="false">
      <c r="A447" s="14" t="str">
        <f aca="false">IF(Transações!C447&lt;&gt;"",Transações!C447,"")</f>
        <v/>
      </c>
      <c r="B447" s="14" t="str">
        <f aca="false">IF(Transações!A447&lt;&gt;"",Transações!A447,"")</f>
        <v/>
      </c>
      <c r="C447" s="14" t="str">
        <f aca="false">IF(Transações!B447&lt;&gt;"",Transações!B447,"")</f>
        <v/>
      </c>
      <c r="D447" s="15" t="str">
        <f aca="false">IF(Transações!D447&lt;&gt;"",Transações!D447,"")</f>
        <v/>
      </c>
      <c r="E447" s="16" t="str">
        <f aca="false">IF(Transações!E447&lt;&gt;"",Transações!E447,"")</f>
        <v/>
      </c>
      <c r="F447" s="7" t="str">
        <f aca="false">IF(C447="Compra",D447*E447,IF(C447="Staking",D447*E447,""))</f>
        <v/>
      </c>
      <c r="G447" s="7" t="str">
        <f aca="false">IF(C447="Venda",IF(COUNTIF(A$3:A446,A447)&gt;0,(E447-SUMPRODUCT((A$3:A446=A447)*(C$3:C446="Compra")*F$3:F446)/IF(SUMPRODUCT((A$3:A446=A447)*(C$3:C446="Compra")*D$3:D446)=0,1,SUMPRODUCT((A$3:A446=A447)*(C$3:C446="Compra")*D$3:D446)))*D447,0),"")</f>
        <v/>
      </c>
      <c r="H447" s="7" t="str">
        <f aca="false">IF(C447="Venda",E447*D447,"")</f>
        <v/>
      </c>
    </row>
    <row r="448" customFormat="false" ht="15" hidden="false" customHeight="false" outlineLevel="0" collapsed="false">
      <c r="A448" s="17" t="str">
        <f aca="false">IF(Transações!C448&lt;&gt;"",Transações!C448,"")</f>
        <v/>
      </c>
      <c r="B448" s="17" t="str">
        <f aca="false">IF(Transações!A448&lt;&gt;"",Transações!A448,"")</f>
        <v/>
      </c>
      <c r="C448" s="17" t="str">
        <f aca="false">IF(Transações!B448&lt;&gt;"",Transações!B448,"")</f>
        <v/>
      </c>
      <c r="D448" s="18" t="str">
        <f aca="false">IF(Transações!D448&lt;&gt;"",Transações!D448,"")</f>
        <v/>
      </c>
      <c r="E448" s="19" t="str">
        <f aca="false">IF(Transações!E448&lt;&gt;"",Transações!E448,"")</f>
        <v/>
      </c>
      <c r="F448" s="12" t="str">
        <f aca="false">IF(C448="Compra",D448*E448,IF(C448="Staking",D448*E448,""))</f>
        <v/>
      </c>
      <c r="G448" s="12" t="str">
        <f aca="false">IF(C448="Venda",IF(COUNTIF(A$3:A447,A448)&gt;0,(E448-SUMPRODUCT((A$3:A447=A448)*(C$3:C447="Compra")*F$3:F447)/IF(SUMPRODUCT((A$3:A447=A448)*(C$3:C447="Compra")*D$3:D447)=0,1,SUMPRODUCT((A$3:A447=A448)*(C$3:C447="Compra")*D$3:D447)))*D448,0),"")</f>
        <v/>
      </c>
      <c r="H448" s="12" t="str">
        <f aca="false">IF(C448="Venda",E448*D448,"")</f>
        <v/>
      </c>
    </row>
    <row r="449" customFormat="false" ht="15" hidden="false" customHeight="false" outlineLevel="0" collapsed="false">
      <c r="A449" s="14" t="str">
        <f aca="false">IF(Transações!C449&lt;&gt;"",Transações!C449,"")</f>
        <v/>
      </c>
      <c r="B449" s="14" t="str">
        <f aca="false">IF(Transações!A449&lt;&gt;"",Transações!A449,"")</f>
        <v/>
      </c>
      <c r="C449" s="14" t="str">
        <f aca="false">IF(Transações!B449&lt;&gt;"",Transações!B449,"")</f>
        <v/>
      </c>
      <c r="D449" s="15" t="str">
        <f aca="false">IF(Transações!D449&lt;&gt;"",Transações!D449,"")</f>
        <v/>
      </c>
      <c r="E449" s="16" t="str">
        <f aca="false">IF(Transações!E449&lt;&gt;"",Transações!E449,"")</f>
        <v/>
      </c>
      <c r="F449" s="7" t="str">
        <f aca="false">IF(C449="Compra",D449*E449,IF(C449="Staking",D449*E449,""))</f>
        <v/>
      </c>
      <c r="G449" s="7" t="str">
        <f aca="false">IF(C449="Venda",IF(COUNTIF(A$3:A448,A449)&gt;0,(E449-SUMPRODUCT((A$3:A448=A449)*(C$3:C448="Compra")*F$3:F448)/IF(SUMPRODUCT((A$3:A448=A449)*(C$3:C448="Compra")*D$3:D448)=0,1,SUMPRODUCT((A$3:A448=A449)*(C$3:C448="Compra")*D$3:D448)))*D449,0),"")</f>
        <v/>
      </c>
      <c r="H449" s="7" t="str">
        <f aca="false">IF(C449="Venda",E449*D449,"")</f>
        <v/>
      </c>
    </row>
    <row r="450" customFormat="false" ht="15" hidden="false" customHeight="false" outlineLevel="0" collapsed="false">
      <c r="A450" s="17" t="str">
        <f aca="false">IF(Transações!C450&lt;&gt;"",Transações!C450,"")</f>
        <v/>
      </c>
      <c r="B450" s="17" t="str">
        <f aca="false">IF(Transações!A450&lt;&gt;"",Transações!A450,"")</f>
        <v/>
      </c>
      <c r="C450" s="17" t="str">
        <f aca="false">IF(Transações!B450&lt;&gt;"",Transações!B450,"")</f>
        <v/>
      </c>
      <c r="D450" s="18" t="str">
        <f aca="false">IF(Transações!D450&lt;&gt;"",Transações!D450,"")</f>
        <v/>
      </c>
      <c r="E450" s="19" t="str">
        <f aca="false">IF(Transações!E450&lt;&gt;"",Transações!E450,"")</f>
        <v/>
      </c>
      <c r="F450" s="12" t="str">
        <f aca="false">IF(C450="Compra",D450*E450,IF(C450="Staking",D450*E450,""))</f>
        <v/>
      </c>
      <c r="G450" s="12" t="str">
        <f aca="false">IF(C450="Venda",IF(COUNTIF(A$3:A449,A450)&gt;0,(E450-SUMPRODUCT((A$3:A449=A450)*(C$3:C449="Compra")*F$3:F449)/IF(SUMPRODUCT((A$3:A449=A450)*(C$3:C449="Compra")*D$3:D449)=0,1,SUMPRODUCT((A$3:A449=A450)*(C$3:C449="Compra")*D$3:D449)))*D450,0),"")</f>
        <v/>
      </c>
      <c r="H450" s="12" t="str">
        <f aca="false">IF(C450="Venda",E450*D450,"")</f>
        <v/>
      </c>
    </row>
    <row r="451" customFormat="false" ht="15" hidden="false" customHeight="false" outlineLevel="0" collapsed="false">
      <c r="A451" s="14" t="str">
        <f aca="false">IF(Transações!C451&lt;&gt;"",Transações!C451,"")</f>
        <v/>
      </c>
      <c r="B451" s="14" t="str">
        <f aca="false">IF(Transações!A451&lt;&gt;"",Transações!A451,"")</f>
        <v/>
      </c>
      <c r="C451" s="14" t="str">
        <f aca="false">IF(Transações!B451&lt;&gt;"",Transações!B451,"")</f>
        <v/>
      </c>
      <c r="D451" s="15" t="str">
        <f aca="false">IF(Transações!D451&lt;&gt;"",Transações!D451,"")</f>
        <v/>
      </c>
      <c r="E451" s="16" t="str">
        <f aca="false">IF(Transações!E451&lt;&gt;"",Transações!E451,"")</f>
        <v/>
      </c>
      <c r="F451" s="7" t="str">
        <f aca="false">IF(C451="Compra",D451*E451,IF(C451="Staking",D451*E451,""))</f>
        <v/>
      </c>
      <c r="G451" s="7" t="str">
        <f aca="false">IF(C451="Venda",IF(COUNTIF(A$3:A450,A451)&gt;0,(E451-SUMPRODUCT((A$3:A450=A451)*(C$3:C450="Compra")*F$3:F450)/IF(SUMPRODUCT((A$3:A450=A451)*(C$3:C450="Compra")*D$3:D450)=0,1,SUMPRODUCT((A$3:A450=A451)*(C$3:C450="Compra")*D$3:D450)))*D451,0),"")</f>
        <v/>
      </c>
      <c r="H451" s="7" t="str">
        <f aca="false">IF(C451="Venda",E451*D451,"")</f>
        <v/>
      </c>
    </row>
    <row r="452" customFormat="false" ht="15" hidden="false" customHeight="false" outlineLevel="0" collapsed="false">
      <c r="A452" s="17" t="str">
        <f aca="false">IF(Transações!C452&lt;&gt;"",Transações!C452,"")</f>
        <v/>
      </c>
      <c r="B452" s="17" t="str">
        <f aca="false">IF(Transações!A452&lt;&gt;"",Transações!A452,"")</f>
        <v/>
      </c>
      <c r="C452" s="17" t="str">
        <f aca="false">IF(Transações!B452&lt;&gt;"",Transações!B452,"")</f>
        <v/>
      </c>
      <c r="D452" s="18" t="str">
        <f aca="false">IF(Transações!D452&lt;&gt;"",Transações!D452,"")</f>
        <v/>
      </c>
      <c r="E452" s="19" t="str">
        <f aca="false">IF(Transações!E452&lt;&gt;"",Transações!E452,"")</f>
        <v/>
      </c>
      <c r="F452" s="12" t="str">
        <f aca="false">IF(C452="Compra",D452*E452,IF(C452="Staking",D452*E452,""))</f>
        <v/>
      </c>
      <c r="G452" s="12" t="str">
        <f aca="false">IF(C452="Venda",IF(COUNTIF(A$3:A451,A452)&gt;0,(E452-SUMPRODUCT((A$3:A451=A452)*(C$3:C451="Compra")*F$3:F451)/IF(SUMPRODUCT((A$3:A451=A452)*(C$3:C451="Compra")*D$3:D451)=0,1,SUMPRODUCT((A$3:A451=A452)*(C$3:C451="Compra")*D$3:D451)))*D452,0),"")</f>
        <v/>
      </c>
      <c r="H452" s="12" t="str">
        <f aca="false">IF(C452="Venda",E452*D452,"")</f>
        <v/>
      </c>
    </row>
    <row r="453" customFormat="false" ht="15" hidden="false" customHeight="false" outlineLevel="0" collapsed="false">
      <c r="A453" s="14" t="str">
        <f aca="false">IF(Transações!C453&lt;&gt;"",Transações!C453,"")</f>
        <v/>
      </c>
      <c r="B453" s="14" t="str">
        <f aca="false">IF(Transações!A453&lt;&gt;"",Transações!A453,"")</f>
        <v/>
      </c>
      <c r="C453" s="14" t="str">
        <f aca="false">IF(Transações!B453&lt;&gt;"",Transações!B453,"")</f>
        <v/>
      </c>
      <c r="D453" s="15" t="str">
        <f aca="false">IF(Transações!D453&lt;&gt;"",Transações!D453,"")</f>
        <v/>
      </c>
      <c r="E453" s="16" t="str">
        <f aca="false">IF(Transações!E453&lt;&gt;"",Transações!E453,"")</f>
        <v/>
      </c>
      <c r="F453" s="7" t="str">
        <f aca="false">IF(C453="Compra",D453*E453,IF(C453="Staking",D453*E453,""))</f>
        <v/>
      </c>
      <c r="G453" s="7" t="str">
        <f aca="false">IF(C453="Venda",IF(COUNTIF(A$3:A452,A453)&gt;0,(E453-SUMPRODUCT((A$3:A452=A453)*(C$3:C452="Compra")*F$3:F452)/IF(SUMPRODUCT((A$3:A452=A453)*(C$3:C452="Compra")*D$3:D452)=0,1,SUMPRODUCT((A$3:A452=A453)*(C$3:C452="Compra")*D$3:D452)))*D453,0),"")</f>
        <v/>
      </c>
      <c r="H453" s="7" t="str">
        <f aca="false">IF(C453="Venda",E453*D453,"")</f>
        <v/>
      </c>
    </row>
    <row r="454" customFormat="false" ht="15" hidden="false" customHeight="false" outlineLevel="0" collapsed="false">
      <c r="A454" s="17" t="str">
        <f aca="false">IF(Transações!C454&lt;&gt;"",Transações!C454,"")</f>
        <v/>
      </c>
      <c r="B454" s="17" t="str">
        <f aca="false">IF(Transações!A454&lt;&gt;"",Transações!A454,"")</f>
        <v/>
      </c>
      <c r="C454" s="17" t="str">
        <f aca="false">IF(Transações!B454&lt;&gt;"",Transações!B454,"")</f>
        <v/>
      </c>
      <c r="D454" s="18" t="str">
        <f aca="false">IF(Transações!D454&lt;&gt;"",Transações!D454,"")</f>
        <v/>
      </c>
      <c r="E454" s="19" t="str">
        <f aca="false">IF(Transações!E454&lt;&gt;"",Transações!E454,"")</f>
        <v/>
      </c>
      <c r="F454" s="12" t="str">
        <f aca="false">IF(C454="Compra",D454*E454,IF(C454="Staking",D454*E454,""))</f>
        <v/>
      </c>
      <c r="G454" s="12" t="str">
        <f aca="false">IF(C454="Venda",IF(COUNTIF(A$3:A453,A454)&gt;0,(E454-SUMPRODUCT((A$3:A453=A454)*(C$3:C453="Compra")*F$3:F453)/IF(SUMPRODUCT((A$3:A453=A454)*(C$3:C453="Compra")*D$3:D453)=0,1,SUMPRODUCT((A$3:A453=A454)*(C$3:C453="Compra")*D$3:D453)))*D454,0),"")</f>
        <v/>
      </c>
      <c r="H454" s="12" t="str">
        <f aca="false">IF(C454="Venda",E454*D454,"")</f>
        <v/>
      </c>
    </row>
    <row r="455" customFormat="false" ht="15" hidden="false" customHeight="false" outlineLevel="0" collapsed="false">
      <c r="A455" s="14" t="str">
        <f aca="false">IF(Transações!C455&lt;&gt;"",Transações!C455,"")</f>
        <v/>
      </c>
      <c r="B455" s="14" t="str">
        <f aca="false">IF(Transações!A455&lt;&gt;"",Transações!A455,"")</f>
        <v/>
      </c>
      <c r="C455" s="14" t="str">
        <f aca="false">IF(Transações!B455&lt;&gt;"",Transações!B455,"")</f>
        <v/>
      </c>
      <c r="D455" s="15" t="str">
        <f aca="false">IF(Transações!D455&lt;&gt;"",Transações!D455,"")</f>
        <v/>
      </c>
      <c r="E455" s="16" t="str">
        <f aca="false">IF(Transações!E455&lt;&gt;"",Transações!E455,"")</f>
        <v/>
      </c>
      <c r="F455" s="7" t="str">
        <f aca="false">IF(C455="Compra",D455*E455,IF(C455="Staking",D455*E455,""))</f>
        <v/>
      </c>
      <c r="G455" s="7" t="str">
        <f aca="false">IF(C455="Venda",IF(COUNTIF(A$3:A454,A455)&gt;0,(E455-SUMPRODUCT((A$3:A454=A455)*(C$3:C454="Compra")*F$3:F454)/IF(SUMPRODUCT((A$3:A454=A455)*(C$3:C454="Compra")*D$3:D454)=0,1,SUMPRODUCT((A$3:A454=A455)*(C$3:C454="Compra")*D$3:D454)))*D455,0),"")</f>
        <v/>
      </c>
      <c r="H455" s="7" t="str">
        <f aca="false">IF(C455="Venda",E455*D455,"")</f>
        <v/>
      </c>
    </row>
    <row r="456" customFormat="false" ht="15" hidden="false" customHeight="false" outlineLevel="0" collapsed="false">
      <c r="A456" s="17" t="str">
        <f aca="false">IF(Transações!C456&lt;&gt;"",Transações!C456,"")</f>
        <v/>
      </c>
      <c r="B456" s="17" t="str">
        <f aca="false">IF(Transações!A456&lt;&gt;"",Transações!A456,"")</f>
        <v/>
      </c>
      <c r="C456" s="17" t="str">
        <f aca="false">IF(Transações!B456&lt;&gt;"",Transações!B456,"")</f>
        <v/>
      </c>
      <c r="D456" s="18" t="str">
        <f aca="false">IF(Transações!D456&lt;&gt;"",Transações!D456,"")</f>
        <v/>
      </c>
      <c r="E456" s="19" t="str">
        <f aca="false">IF(Transações!E456&lt;&gt;"",Transações!E456,"")</f>
        <v/>
      </c>
      <c r="F456" s="12" t="str">
        <f aca="false">IF(C456="Compra",D456*E456,IF(C456="Staking",D456*E456,""))</f>
        <v/>
      </c>
      <c r="G456" s="12" t="str">
        <f aca="false">IF(C456="Venda",IF(COUNTIF(A$3:A455,A456)&gt;0,(E456-SUMPRODUCT((A$3:A455=A456)*(C$3:C455="Compra")*F$3:F455)/IF(SUMPRODUCT((A$3:A455=A456)*(C$3:C455="Compra")*D$3:D455)=0,1,SUMPRODUCT((A$3:A455=A456)*(C$3:C455="Compra")*D$3:D455)))*D456,0),"")</f>
        <v/>
      </c>
      <c r="H456" s="12" t="str">
        <f aca="false">IF(C456="Venda",E456*D456,"")</f>
        <v/>
      </c>
    </row>
    <row r="457" customFormat="false" ht="15" hidden="false" customHeight="false" outlineLevel="0" collapsed="false">
      <c r="A457" s="14" t="str">
        <f aca="false">IF(Transações!C457&lt;&gt;"",Transações!C457,"")</f>
        <v/>
      </c>
      <c r="B457" s="14" t="str">
        <f aca="false">IF(Transações!A457&lt;&gt;"",Transações!A457,"")</f>
        <v/>
      </c>
      <c r="C457" s="14" t="str">
        <f aca="false">IF(Transações!B457&lt;&gt;"",Transações!B457,"")</f>
        <v/>
      </c>
      <c r="D457" s="15" t="str">
        <f aca="false">IF(Transações!D457&lt;&gt;"",Transações!D457,"")</f>
        <v/>
      </c>
      <c r="E457" s="16" t="str">
        <f aca="false">IF(Transações!E457&lt;&gt;"",Transações!E457,"")</f>
        <v/>
      </c>
      <c r="F457" s="7" t="str">
        <f aca="false">IF(C457="Compra",D457*E457,IF(C457="Staking",D457*E457,""))</f>
        <v/>
      </c>
      <c r="G457" s="7" t="str">
        <f aca="false">IF(C457="Venda",IF(COUNTIF(A$3:A456,A457)&gt;0,(E457-SUMPRODUCT((A$3:A456=A457)*(C$3:C456="Compra")*F$3:F456)/IF(SUMPRODUCT((A$3:A456=A457)*(C$3:C456="Compra")*D$3:D456)=0,1,SUMPRODUCT((A$3:A456=A457)*(C$3:C456="Compra")*D$3:D456)))*D457,0),"")</f>
        <v/>
      </c>
      <c r="H457" s="7" t="str">
        <f aca="false">IF(C457="Venda",E457*D457,"")</f>
        <v/>
      </c>
    </row>
    <row r="458" customFormat="false" ht="15" hidden="false" customHeight="false" outlineLevel="0" collapsed="false">
      <c r="A458" s="17" t="str">
        <f aca="false">IF(Transações!C458&lt;&gt;"",Transações!C458,"")</f>
        <v/>
      </c>
      <c r="B458" s="17" t="str">
        <f aca="false">IF(Transações!A458&lt;&gt;"",Transações!A458,"")</f>
        <v/>
      </c>
      <c r="C458" s="17" t="str">
        <f aca="false">IF(Transações!B458&lt;&gt;"",Transações!B458,"")</f>
        <v/>
      </c>
      <c r="D458" s="18" t="str">
        <f aca="false">IF(Transações!D458&lt;&gt;"",Transações!D458,"")</f>
        <v/>
      </c>
      <c r="E458" s="19" t="str">
        <f aca="false">IF(Transações!E458&lt;&gt;"",Transações!E458,"")</f>
        <v/>
      </c>
      <c r="F458" s="12" t="str">
        <f aca="false">IF(C458="Compra",D458*E458,IF(C458="Staking",D458*E458,""))</f>
        <v/>
      </c>
      <c r="G458" s="12" t="str">
        <f aca="false">IF(C458="Venda",IF(COUNTIF(A$3:A457,A458)&gt;0,(E458-SUMPRODUCT((A$3:A457=A458)*(C$3:C457="Compra")*F$3:F457)/IF(SUMPRODUCT((A$3:A457=A458)*(C$3:C457="Compra")*D$3:D457)=0,1,SUMPRODUCT((A$3:A457=A458)*(C$3:C457="Compra")*D$3:D457)))*D458,0),"")</f>
        <v/>
      </c>
      <c r="H458" s="12" t="str">
        <f aca="false">IF(C458="Venda",E458*D458,"")</f>
        <v/>
      </c>
    </row>
    <row r="459" customFormat="false" ht="15" hidden="false" customHeight="false" outlineLevel="0" collapsed="false">
      <c r="A459" s="14" t="str">
        <f aca="false">IF(Transações!C459&lt;&gt;"",Transações!C459,"")</f>
        <v/>
      </c>
      <c r="B459" s="14" t="str">
        <f aca="false">IF(Transações!A459&lt;&gt;"",Transações!A459,"")</f>
        <v/>
      </c>
      <c r="C459" s="14" t="str">
        <f aca="false">IF(Transações!B459&lt;&gt;"",Transações!B459,"")</f>
        <v/>
      </c>
      <c r="D459" s="15" t="str">
        <f aca="false">IF(Transações!D459&lt;&gt;"",Transações!D459,"")</f>
        <v/>
      </c>
      <c r="E459" s="16" t="str">
        <f aca="false">IF(Transações!E459&lt;&gt;"",Transações!E459,"")</f>
        <v/>
      </c>
      <c r="F459" s="7" t="str">
        <f aca="false">IF(C459="Compra",D459*E459,IF(C459="Staking",D459*E459,""))</f>
        <v/>
      </c>
      <c r="G459" s="7" t="str">
        <f aca="false">IF(C459="Venda",IF(COUNTIF(A$3:A458,A459)&gt;0,(E459-SUMPRODUCT((A$3:A458=A459)*(C$3:C458="Compra")*F$3:F458)/IF(SUMPRODUCT((A$3:A458=A459)*(C$3:C458="Compra")*D$3:D458)=0,1,SUMPRODUCT((A$3:A458=A459)*(C$3:C458="Compra")*D$3:D458)))*D459,0),"")</f>
        <v/>
      </c>
      <c r="H459" s="7" t="str">
        <f aca="false">IF(C459="Venda",E459*D459,"")</f>
        <v/>
      </c>
    </row>
    <row r="460" customFormat="false" ht="15" hidden="false" customHeight="false" outlineLevel="0" collapsed="false">
      <c r="A460" s="17" t="str">
        <f aca="false">IF(Transações!C460&lt;&gt;"",Transações!C460,"")</f>
        <v/>
      </c>
      <c r="B460" s="17" t="str">
        <f aca="false">IF(Transações!A460&lt;&gt;"",Transações!A460,"")</f>
        <v/>
      </c>
      <c r="C460" s="17" t="str">
        <f aca="false">IF(Transações!B460&lt;&gt;"",Transações!B460,"")</f>
        <v/>
      </c>
      <c r="D460" s="18" t="str">
        <f aca="false">IF(Transações!D460&lt;&gt;"",Transações!D460,"")</f>
        <v/>
      </c>
      <c r="E460" s="19" t="str">
        <f aca="false">IF(Transações!E460&lt;&gt;"",Transações!E460,"")</f>
        <v/>
      </c>
      <c r="F460" s="12" t="str">
        <f aca="false">IF(C460="Compra",D460*E460,IF(C460="Staking",D460*E460,""))</f>
        <v/>
      </c>
      <c r="G460" s="12" t="str">
        <f aca="false">IF(C460="Venda",IF(COUNTIF(A$3:A459,A460)&gt;0,(E460-SUMPRODUCT((A$3:A459=A460)*(C$3:C459="Compra")*F$3:F459)/IF(SUMPRODUCT((A$3:A459=A460)*(C$3:C459="Compra")*D$3:D459)=0,1,SUMPRODUCT((A$3:A459=A460)*(C$3:C459="Compra")*D$3:D459)))*D460,0),"")</f>
        <v/>
      </c>
      <c r="H460" s="12" t="str">
        <f aca="false">IF(C460="Venda",E460*D460,"")</f>
        <v/>
      </c>
    </row>
    <row r="461" customFormat="false" ht="15" hidden="false" customHeight="false" outlineLevel="0" collapsed="false">
      <c r="A461" s="14" t="str">
        <f aca="false">IF(Transações!C461&lt;&gt;"",Transações!C461,"")</f>
        <v/>
      </c>
      <c r="B461" s="14" t="str">
        <f aca="false">IF(Transações!A461&lt;&gt;"",Transações!A461,"")</f>
        <v/>
      </c>
      <c r="C461" s="14" t="str">
        <f aca="false">IF(Transações!B461&lt;&gt;"",Transações!B461,"")</f>
        <v/>
      </c>
      <c r="D461" s="15" t="str">
        <f aca="false">IF(Transações!D461&lt;&gt;"",Transações!D461,"")</f>
        <v/>
      </c>
      <c r="E461" s="16" t="str">
        <f aca="false">IF(Transações!E461&lt;&gt;"",Transações!E461,"")</f>
        <v/>
      </c>
      <c r="F461" s="7" t="str">
        <f aca="false">IF(C461="Compra",D461*E461,IF(C461="Staking",D461*E461,""))</f>
        <v/>
      </c>
      <c r="G461" s="7" t="str">
        <f aca="false">IF(C461="Venda",IF(COUNTIF(A$3:A460,A461)&gt;0,(E461-SUMPRODUCT((A$3:A460=A461)*(C$3:C460="Compra")*F$3:F460)/IF(SUMPRODUCT((A$3:A460=A461)*(C$3:C460="Compra")*D$3:D460)=0,1,SUMPRODUCT((A$3:A460=A461)*(C$3:C460="Compra")*D$3:D460)))*D461,0),"")</f>
        <v/>
      </c>
      <c r="H461" s="7" t="str">
        <f aca="false">IF(C461="Venda",E461*D461,"")</f>
        <v/>
      </c>
    </row>
    <row r="462" customFormat="false" ht="15" hidden="false" customHeight="false" outlineLevel="0" collapsed="false">
      <c r="A462" s="17" t="str">
        <f aca="false">IF(Transações!C462&lt;&gt;"",Transações!C462,"")</f>
        <v/>
      </c>
      <c r="B462" s="17" t="str">
        <f aca="false">IF(Transações!A462&lt;&gt;"",Transações!A462,"")</f>
        <v/>
      </c>
      <c r="C462" s="17" t="str">
        <f aca="false">IF(Transações!B462&lt;&gt;"",Transações!B462,"")</f>
        <v/>
      </c>
      <c r="D462" s="18" t="str">
        <f aca="false">IF(Transações!D462&lt;&gt;"",Transações!D462,"")</f>
        <v/>
      </c>
      <c r="E462" s="19" t="str">
        <f aca="false">IF(Transações!E462&lt;&gt;"",Transações!E462,"")</f>
        <v/>
      </c>
      <c r="F462" s="12" t="str">
        <f aca="false">IF(C462="Compra",D462*E462,IF(C462="Staking",D462*E462,""))</f>
        <v/>
      </c>
      <c r="G462" s="12" t="str">
        <f aca="false">IF(C462="Venda",IF(COUNTIF(A$3:A461,A462)&gt;0,(E462-SUMPRODUCT((A$3:A461=A462)*(C$3:C461="Compra")*F$3:F461)/IF(SUMPRODUCT((A$3:A461=A462)*(C$3:C461="Compra")*D$3:D461)=0,1,SUMPRODUCT((A$3:A461=A462)*(C$3:C461="Compra")*D$3:D461)))*D462,0),"")</f>
        <v/>
      </c>
      <c r="H462" s="12" t="str">
        <f aca="false">IF(C462="Venda",E462*D462,"")</f>
        <v/>
      </c>
    </row>
    <row r="463" customFormat="false" ht="15" hidden="false" customHeight="false" outlineLevel="0" collapsed="false">
      <c r="A463" s="14" t="str">
        <f aca="false">IF(Transações!C463&lt;&gt;"",Transações!C463,"")</f>
        <v/>
      </c>
      <c r="B463" s="14" t="str">
        <f aca="false">IF(Transações!A463&lt;&gt;"",Transações!A463,"")</f>
        <v/>
      </c>
      <c r="C463" s="14" t="str">
        <f aca="false">IF(Transações!B463&lt;&gt;"",Transações!B463,"")</f>
        <v/>
      </c>
      <c r="D463" s="15" t="str">
        <f aca="false">IF(Transações!D463&lt;&gt;"",Transações!D463,"")</f>
        <v/>
      </c>
      <c r="E463" s="16" t="str">
        <f aca="false">IF(Transações!E463&lt;&gt;"",Transações!E463,"")</f>
        <v/>
      </c>
      <c r="F463" s="7" t="str">
        <f aca="false">IF(C463="Compra",D463*E463,IF(C463="Staking",D463*E463,""))</f>
        <v/>
      </c>
      <c r="G463" s="7" t="str">
        <f aca="false">IF(C463="Venda",IF(COUNTIF(A$3:A462,A463)&gt;0,(E463-SUMPRODUCT((A$3:A462=A463)*(C$3:C462="Compra")*F$3:F462)/IF(SUMPRODUCT((A$3:A462=A463)*(C$3:C462="Compra")*D$3:D462)=0,1,SUMPRODUCT((A$3:A462=A463)*(C$3:C462="Compra")*D$3:D462)))*D463,0),"")</f>
        <v/>
      </c>
      <c r="H463" s="7" t="str">
        <f aca="false">IF(C463="Venda",E463*D463,"")</f>
        <v/>
      </c>
    </row>
    <row r="464" customFormat="false" ht="15" hidden="false" customHeight="false" outlineLevel="0" collapsed="false">
      <c r="A464" s="17" t="str">
        <f aca="false">IF(Transações!C464&lt;&gt;"",Transações!C464,"")</f>
        <v/>
      </c>
      <c r="B464" s="17" t="str">
        <f aca="false">IF(Transações!A464&lt;&gt;"",Transações!A464,"")</f>
        <v/>
      </c>
      <c r="C464" s="17" t="str">
        <f aca="false">IF(Transações!B464&lt;&gt;"",Transações!B464,"")</f>
        <v/>
      </c>
      <c r="D464" s="18" t="str">
        <f aca="false">IF(Transações!D464&lt;&gt;"",Transações!D464,"")</f>
        <v/>
      </c>
      <c r="E464" s="19" t="str">
        <f aca="false">IF(Transações!E464&lt;&gt;"",Transações!E464,"")</f>
        <v/>
      </c>
      <c r="F464" s="12" t="str">
        <f aca="false">IF(C464="Compra",D464*E464,IF(C464="Staking",D464*E464,""))</f>
        <v/>
      </c>
      <c r="G464" s="12" t="str">
        <f aca="false">IF(C464="Venda",IF(COUNTIF(A$3:A463,A464)&gt;0,(E464-SUMPRODUCT((A$3:A463=A464)*(C$3:C463="Compra")*F$3:F463)/IF(SUMPRODUCT((A$3:A463=A464)*(C$3:C463="Compra")*D$3:D463)=0,1,SUMPRODUCT((A$3:A463=A464)*(C$3:C463="Compra")*D$3:D463)))*D464,0),"")</f>
        <v/>
      </c>
      <c r="H464" s="12" t="str">
        <f aca="false">IF(C464="Venda",E464*D464,"")</f>
        <v/>
      </c>
    </row>
    <row r="465" customFormat="false" ht="15" hidden="false" customHeight="false" outlineLevel="0" collapsed="false">
      <c r="A465" s="14" t="str">
        <f aca="false">IF(Transações!C465&lt;&gt;"",Transações!C465,"")</f>
        <v/>
      </c>
      <c r="B465" s="14" t="str">
        <f aca="false">IF(Transações!A465&lt;&gt;"",Transações!A465,"")</f>
        <v/>
      </c>
      <c r="C465" s="14" t="str">
        <f aca="false">IF(Transações!B465&lt;&gt;"",Transações!B465,"")</f>
        <v/>
      </c>
      <c r="D465" s="15" t="str">
        <f aca="false">IF(Transações!D465&lt;&gt;"",Transações!D465,"")</f>
        <v/>
      </c>
      <c r="E465" s="16" t="str">
        <f aca="false">IF(Transações!E465&lt;&gt;"",Transações!E465,"")</f>
        <v/>
      </c>
      <c r="F465" s="7" t="str">
        <f aca="false">IF(C465="Compra",D465*E465,IF(C465="Staking",D465*E465,""))</f>
        <v/>
      </c>
      <c r="G465" s="7" t="str">
        <f aca="false">IF(C465="Venda",IF(COUNTIF(A$3:A464,A465)&gt;0,(E465-SUMPRODUCT((A$3:A464=A465)*(C$3:C464="Compra")*F$3:F464)/IF(SUMPRODUCT((A$3:A464=A465)*(C$3:C464="Compra")*D$3:D464)=0,1,SUMPRODUCT((A$3:A464=A465)*(C$3:C464="Compra")*D$3:D464)))*D465,0),"")</f>
        <v/>
      </c>
      <c r="H465" s="7" t="str">
        <f aca="false">IF(C465="Venda",E465*D465,"")</f>
        <v/>
      </c>
    </row>
    <row r="466" customFormat="false" ht="15" hidden="false" customHeight="false" outlineLevel="0" collapsed="false">
      <c r="A466" s="17" t="str">
        <f aca="false">IF(Transações!C466&lt;&gt;"",Transações!C466,"")</f>
        <v/>
      </c>
      <c r="B466" s="17" t="str">
        <f aca="false">IF(Transações!A466&lt;&gt;"",Transações!A466,"")</f>
        <v/>
      </c>
      <c r="C466" s="17" t="str">
        <f aca="false">IF(Transações!B466&lt;&gt;"",Transações!B466,"")</f>
        <v/>
      </c>
      <c r="D466" s="18" t="str">
        <f aca="false">IF(Transações!D466&lt;&gt;"",Transações!D466,"")</f>
        <v/>
      </c>
      <c r="E466" s="19" t="str">
        <f aca="false">IF(Transações!E466&lt;&gt;"",Transações!E466,"")</f>
        <v/>
      </c>
      <c r="F466" s="12" t="str">
        <f aca="false">IF(C466="Compra",D466*E466,IF(C466="Staking",D466*E466,""))</f>
        <v/>
      </c>
      <c r="G466" s="12" t="str">
        <f aca="false">IF(C466="Venda",IF(COUNTIF(A$3:A465,A466)&gt;0,(E466-SUMPRODUCT((A$3:A465=A466)*(C$3:C465="Compra")*F$3:F465)/IF(SUMPRODUCT((A$3:A465=A466)*(C$3:C465="Compra")*D$3:D465)=0,1,SUMPRODUCT((A$3:A465=A466)*(C$3:C465="Compra")*D$3:D465)))*D466,0),"")</f>
        <v/>
      </c>
      <c r="H466" s="12" t="str">
        <f aca="false">IF(C466="Venda",E466*D466,"")</f>
        <v/>
      </c>
    </row>
    <row r="467" customFormat="false" ht="15" hidden="false" customHeight="false" outlineLevel="0" collapsed="false">
      <c r="A467" s="14" t="str">
        <f aca="false">IF(Transações!C467&lt;&gt;"",Transações!C467,"")</f>
        <v/>
      </c>
      <c r="B467" s="14" t="str">
        <f aca="false">IF(Transações!A467&lt;&gt;"",Transações!A467,"")</f>
        <v/>
      </c>
      <c r="C467" s="14" t="str">
        <f aca="false">IF(Transações!B467&lt;&gt;"",Transações!B467,"")</f>
        <v/>
      </c>
      <c r="D467" s="15" t="str">
        <f aca="false">IF(Transações!D467&lt;&gt;"",Transações!D467,"")</f>
        <v/>
      </c>
      <c r="E467" s="16" t="str">
        <f aca="false">IF(Transações!E467&lt;&gt;"",Transações!E467,"")</f>
        <v/>
      </c>
      <c r="F467" s="7" t="str">
        <f aca="false">IF(C467="Compra",D467*E467,IF(C467="Staking",D467*E467,""))</f>
        <v/>
      </c>
      <c r="G467" s="7" t="str">
        <f aca="false">IF(C467="Venda",IF(COUNTIF(A$3:A466,A467)&gt;0,(E467-SUMPRODUCT((A$3:A466=A467)*(C$3:C466="Compra")*F$3:F466)/IF(SUMPRODUCT((A$3:A466=A467)*(C$3:C466="Compra")*D$3:D466)=0,1,SUMPRODUCT((A$3:A466=A467)*(C$3:C466="Compra")*D$3:D466)))*D467,0),"")</f>
        <v/>
      </c>
      <c r="H467" s="7" t="str">
        <f aca="false">IF(C467="Venda",E467*D467,"")</f>
        <v/>
      </c>
    </row>
    <row r="468" customFormat="false" ht="15" hidden="false" customHeight="false" outlineLevel="0" collapsed="false">
      <c r="A468" s="17" t="str">
        <f aca="false">IF(Transações!C468&lt;&gt;"",Transações!C468,"")</f>
        <v/>
      </c>
      <c r="B468" s="17" t="str">
        <f aca="false">IF(Transações!A468&lt;&gt;"",Transações!A468,"")</f>
        <v/>
      </c>
      <c r="C468" s="17" t="str">
        <f aca="false">IF(Transações!B468&lt;&gt;"",Transações!B468,"")</f>
        <v/>
      </c>
      <c r="D468" s="18" t="str">
        <f aca="false">IF(Transações!D468&lt;&gt;"",Transações!D468,"")</f>
        <v/>
      </c>
      <c r="E468" s="19" t="str">
        <f aca="false">IF(Transações!E468&lt;&gt;"",Transações!E468,"")</f>
        <v/>
      </c>
      <c r="F468" s="12" t="str">
        <f aca="false">IF(C468="Compra",D468*E468,IF(C468="Staking",D468*E468,""))</f>
        <v/>
      </c>
      <c r="G468" s="12" t="str">
        <f aca="false">IF(C468="Venda",IF(COUNTIF(A$3:A467,A468)&gt;0,(E468-SUMPRODUCT((A$3:A467=A468)*(C$3:C467="Compra")*F$3:F467)/IF(SUMPRODUCT((A$3:A467=A468)*(C$3:C467="Compra")*D$3:D467)=0,1,SUMPRODUCT((A$3:A467=A468)*(C$3:C467="Compra")*D$3:D467)))*D468,0),"")</f>
        <v/>
      </c>
      <c r="H468" s="12" t="str">
        <f aca="false">IF(C468="Venda",E468*D468,"")</f>
        <v/>
      </c>
    </row>
    <row r="469" customFormat="false" ht="15" hidden="false" customHeight="false" outlineLevel="0" collapsed="false">
      <c r="A469" s="14" t="str">
        <f aca="false">IF(Transações!C469&lt;&gt;"",Transações!C469,"")</f>
        <v/>
      </c>
      <c r="B469" s="14" t="str">
        <f aca="false">IF(Transações!A469&lt;&gt;"",Transações!A469,"")</f>
        <v/>
      </c>
      <c r="C469" s="14" t="str">
        <f aca="false">IF(Transações!B469&lt;&gt;"",Transações!B469,"")</f>
        <v/>
      </c>
      <c r="D469" s="15" t="str">
        <f aca="false">IF(Transações!D469&lt;&gt;"",Transações!D469,"")</f>
        <v/>
      </c>
      <c r="E469" s="16" t="str">
        <f aca="false">IF(Transações!E469&lt;&gt;"",Transações!E469,"")</f>
        <v/>
      </c>
      <c r="F469" s="7" t="str">
        <f aca="false">IF(C469="Compra",D469*E469,IF(C469="Staking",D469*E469,""))</f>
        <v/>
      </c>
      <c r="G469" s="7" t="str">
        <f aca="false">IF(C469="Venda",IF(COUNTIF(A$3:A468,A469)&gt;0,(E469-SUMPRODUCT((A$3:A468=A469)*(C$3:C468="Compra")*F$3:F468)/IF(SUMPRODUCT((A$3:A468=A469)*(C$3:C468="Compra")*D$3:D468)=0,1,SUMPRODUCT((A$3:A468=A469)*(C$3:C468="Compra")*D$3:D468)))*D469,0),"")</f>
        <v/>
      </c>
      <c r="H469" s="7" t="str">
        <f aca="false">IF(C469="Venda",E469*D469,"")</f>
        <v/>
      </c>
    </row>
    <row r="470" customFormat="false" ht="15" hidden="false" customHeight="false" outlineLevel="0" collapsed="false">
      <c r="A470" s="17" t="str">
        <f aca="false">IF(Transações!C470&lt;&gt;"",Transações!C470,"")</f>
        <v/>
      </c>
      <c r="B470" s="17" t="str">
        <f aca="false">IF(Transações!A470&lt;&gt;"",Transações!A470,"")</f>
        <v/>
      </c>
      <c r="C470" s="17" t="str">
        <f aca="false">IF(Transações!B470&lt;&gt;"",Transações!B470,"")</f>
        <v/>
      </c>
      <c r="D470" s="18" t="str">
        <f aca="false">IF(Transações!D470&lt;&gt;"",Transações!D470,"")</f>
        <v/>
      </c>
      <c r="E470" s="19" t="str">
        <f aca="false">IF(Transações!E470&lt;&gt;"",Transações!E470,"")</f>
        <v/>
      </c>
      <c r="F470" s="12" t="str">
        <f aca="false">IF(C470="Compra",D470*E470,IF(C470="Staking",D470*E470,""))</f>
        <v/>
      </c>
      <c r="G470" s="12" t="str">
        <f aca="false">IF(C470="Venda",IF(COUNTIF(A$3:A469,A470)&gt;0,(E470-SUMPRODUCT((A$3:A469=A470)*(C$3:C469="Compra")*F$3:F469)/IF(SUMPRODUCT((A$3:A469=A470)*(C$3:C469="Compra")*D$3:D469)=0,1,SUMPRODUCT((A$3:A469=A470)*(C$3:C469="Compra")*D$3:D469)))*D470,0),"")</f>
        <v/>
      </c>
      <c r="H470" s="12" t="str">
        <f aca="false">IF(C470="Venda",E470*D470,"")</f>
        <v/>
      </c>
    </row>
    <row r="471" customFormat="false" ht="15" hidden="false" customHeight="false" outlineLevel="0" collapsed="false">
      <c r="A471" s="14" t="str">
        <f aca="false">IF(Transações!C471&lt;&gt;"",Transações!C471,"")</f>
        <v/>
      </c>
      <c r="B471" s="14" t="str">
        <f aca="false">IF(Transações!A471&lt;&gt;"",Transações!A471,"")</f>
        <v/>
      </c>
      <c r="C471" s="14" t="str">
        <f aca="false">IF(Transações!B471&lt;&gt;"",Transações!B471,"")</f>
        <v/>
      </c>
      <c r="D471" s="15" t="str">
        <f aca="false">IF(Transações!D471&lt;&gt;"",Transações!D471,"")</f>
        <v/>
      </c>
      <c r="E471" s="16" t="str">
        <f aca="false">IF(Transações!E471&lt;&gt;"",Transações!E471,"")</f>
        <v/>
      </c>
      <c r="F471" s="7" t="str">
        <f aca="false">IF(C471="Compra",D471*E471,IF(C471="Staking",D471*E471,""))</f>
        <v/>
      </c>
      <c r="G471" s="7" t="str">
        <f aca="false">IF(C471="Venda",IF(COUNTIF(A$3:A470,A471)&gt;0,(E471-SUMPRODUCT((A$3:A470=A471)*(C$3:C470="Compra")*F$3:F470)/IF(SUMPRODUCT((A$3:A470=A471)*(C$3:C470="Compra")*D$3:D470)=0,1,SUMPRODUCT((A$3:A470=A471)*(C$3:C470="Compra")*D$3:D470)))*D471,0),"")</f>
        <v/>
      </c>
      <c r="H471" s="7" t="str">
        <f aca="false">IF(C471="Venda",E471*D471,"")</f>
        <v/>
      </c>
    </row>
    <row r="472" customFormat="false" ht="15" hidden="false" customHeight="false" outlineLevel="0" collapsed="false">
      <c r="A472" s="17" t="str">
        <f aca="false">IF(Transações!C472&lt;&gt;"",Transações!C472,"")</f>
        <v/>
      </c>
      <c r="B472" s="17" t="str">
        <f aca="false">IF(Transações!A472&lt;&gt;"",Transações!A472,"")</f>
        <v/>
      </c>
      <c r="C472" s="17" t="str">
        <f aca="false">IF(Transações!B472&lt;&gt;"",Transações!B472,"")</f>
        <v/>
      </c>
      <c r="D472" s="18" t="str">
        <f aca="false">IF(Transações!D472&lt;&gt;"",Transações!D472,"")</f>
        <v/>
      </c>
      <c r="E472" s="19" t="str">
        <f aca="false">IF(Transações!E472&lt;&gt;"",Transações!E472,"")</f>
        <v/>
      </c>
      <c r="F472" s="12" t="str">
        <f aca="false">IF(C472="Compra",D472*E472,IF(C472="Staking",D472*E472,""))</f>
        <v/>
      </c>
      <c r="G472" s="12" t="str">
        <f aca="false">IF(C472="Venda",IF(COUNTIF(A$3:A471,A472)&gt;0,(E472-SUMPRODUCT((A$3:A471=A472)*(C$3:C471="Compra")*F$3:F471)/IF(SUMPRODUCT((A$3:A471=A472)*(C$3:C471="Compra")*D$3:D471)=0,1,SUMPRODUCT((A$3:A471=A472)*(C$3:C471="Compra")*D$3:D471)))*D472,0),"")</f>
        <v/>
      </c>
      <c r="H472" s="12" t="str">
        <f aca="false">IF(C472="Venda",E472*D472,"")</f>
        <v/>
      </c>
    </row>
    <row r="473" customFormat="false" ht="15" hidden="false" customHeight="false" outlineLevel="0" collapsed="false">
      <c r="A473" s="14" t="str">
        <f aca="false">IF(Transações!C473&lt;&gt;"",Transações!C473,"")</f>
        <v/>
      </c>
      <c r="B473" s="14" t="str">
        <f aca="false">IF(Transações!A473&lt;&gt;"",Transações!A473,"")</f>
        <v/>
      </c>
      <c r="C473" s="14" t="str">
        <f aca="false">IF(Transações!B473&lt;&gt;"",Transações!B473,"")</f>
        <v/>
      </c>
      <c r="D473" s="15" t="str">
        <f aca="false">IF(Transações!D473&lt;&gt;"",Transações!D473,"")</f>
        <v/>
      </c>
      <c r="E473" s="16" t="str">
        <f aca="false">IF(Transações!E473&lt;&gt;"",Transações!E473,"")</f>
        <v/>
      </c>
      <c r="F473" s="7" t="str">
        <f aca="false">IF(C473="Compra",D473*E473,IF(C473="Staking",D473*E473,""))</f>
        <v/>
      </c>
      <c r="G473" s="7" t="str">
        <f aca="false">IF(C473="Venda",IF(COUNTIF(A$3:A472,A473)&gt;0,(E473-SUMPRODUCT((A$3:A472=A473)*(C$3:C472="Compra")*F$3:F472)/IF(SUMPRODUCT((A$3:A472=A473)*(C$3:C472="Compra")*D$3:D472)=0,1,SUMPRODUCT((A$3:A472=A473)*(C$3:C472="Compra")*D$3:D472)))*D473,0),"")</f>
        <v/>
      </c>
      <c r="H473" s="7" t="str">
        <f aca="false">IF(C473="Venda",E473*D473,"")</f>
        <v/>
      </c>
    </row>
    <row r="474" customFormat="false" ht="15" hidden="false" customHeight="false" outlineLevel="0" collapsed="false">
      <c r="A474" s="17" t="str">
        <f aca="false">IF(Transações!C474&lt;&gt;"",Transações!C474,"")</f>
        <v/>
      </c>
      <c r="B474" s="17" t="str">
        <f aca="false">IF(Transações!A474&lt;&gt;"",Transações!A474,"")</f>
        <v/>
      </c>
      <c r="C474" s="17" t="str">
        <f aca="false">IF(Transações!B474&lt;&gt;"",Transações!B474,"")</f>
        <v/>
      </c>
      <c r="D474" s="18" t="str">
        <f aca="false">IF(Transações!D474&lt;&gt;"",Transações!D474,"")</f>
        <v/>
      </c>
      <c r="E474" s="19" t="str">
        <f aca="false">IF(Transações!E474&lt;&gt;"",Transações!E474,"")</f>
        <v/>
      </c>
      <c r="F474" s="12" t="str">
        <f aca="false">IF(C474="Compra",D474*E474,IF(C474="Staking",D474*E474,""))</f>
        <v/>
      </c>
      <c r="G474" s="12" t="str">
        <f aca="false">IF(C474="Venda",IF(COUNTIF(A$3:A473,A474)&gt;0,(E474-SUMPRODUCT((A$3:A473=A474)*(C$3:C473="Compra")*F$3:F473)/IF(SUMPRODUCT((A$3:A473=A474)*(C$3:C473="Compra")*D$3:D473)=0,1,SUMPRODUCT((A$3:A473=A474)*(C$3:C473="Compra")*D$3:D473)))*D474,0),"")</f>
        <v/>
      </c>
      <c r="H474" s="12" t="str">
        <f aca="false">IF(C474="Venda",E474*D474,"")</f>
        <v/>
      </c>
    </row>
    <row r="475" customFormat="false" ht="15" hidden="false" customHeight="false" outlineLevel="0" collapsed="false">
      <c r="A475" s="14" t="str">
        <f aca="false">IF(Transações!C475&lt;&gt;"",Transações!C475,"")</f>
        <v/>
      </c>
      <c r="B475" s="14" t="str">
        <f aca="false">IF(Transações!A475&lt;&gt;"",Transações!A475,"")</f>
        <v/>
      </c>
      <c r="C475" s="14" t="str">
        <f aca="false">IF(Transações!B475&lt;&gt;"",Transações!B475,"")</f>
        <v/>
      </c>
      <c r="D475" s="15" t="str">
        <f aca="false">IF(Transações!D475&lt;&gt;"",Transações!D475,"")</f>
        <v/>
      </c>
      <c r="E475" s="16" t="str">
        <f aca="false">IF(Transações!E475&lt;&gt;"",Transações!E475,"")</f>
        <v/>
      </c>
      <c r="F475" s="7" t="str">
        <f aca="false">IF(C475="Compra",D475*E475,IF(C475="Staking",D475*E475,""))</f>
        <v/>
      </c>
      <c r="G475" s="7" t="str">
        <f aca="false">IF(C475="Venda",IF(COUNTIF(A$3:A474,A475)&gt;0,(E475-SUMPRODUCT((A$3:A474=A475)*(C$3:C474="Compra")*F$3:F474)/IF(SUMPRODUCT((A$3:A474=A475)*(C$3:C474="Compra")*D$3:D474)=0,1,SUMPRODUCT((A$3:A474=A475)*(C$3:C474="Compra")*D$3:D474)))*D475,0),"")</f>
        <v/>
      </c>
      <c r="H475" s="7" t="str">
        <f aca="false">IF(C475="Venda",E475*D475,"")</f>
        <v/>
      </c>
    </row>
    <row r="476" customFormat="false" ht="15" hidden="false" customHeight="false" outlineLevel="0" collapsed="false">
      <c r="A476" s="17" t="str">
        <f aca="false">IF(Transações!C476&lt;&gt;"",Transações!C476,"")</f>
        <v/>
      </c>
      <c r="B476" s="17" t="str">
        <f aca="false">IF(Transações!A476&lt;&gt;"",Transações!A476,"")</f>
        <v/>
      </c>
      <c r="C476" s="17" t="str">
        <f aca="false">IF(Transações!B476&lt;&gt;"",Transações!B476,"")</f>
        <v/>
      </c>
      <c r="D476" s="18" t="str">
        <f aca="false">IF(Transações!D476&lt;&gt;"",Transações!D476,"")</f>
        <v/>
      </c>
      <c r="E476" s="19" t="str">
        <f aca="false">IF(Transações!E476&lt;&gt;"",Transações!E476,"")</f>
        <v/>
      </c>
      <c r="F476" s="12" t="str">
        <f aca="false">IF(C476="Compra",D476*E476,IF(C476="Staking",D476*E476,""))</f>
        <v/>
      </c>
      <c r="G476" s="12" t="str">
        <f aca="false">IF(C476="Venda",IF(COUNTIF(A$3:A475,A476)&gt;0,(E476-SUMPRODUCT((A$3:A475=A476)*(C$3:C475="Compra")*F$3:F475)/IF(SUMPRODUCT((A$3:A475=A476)*(C$3:C475="Compra")*D$3:D475)=0,1,SUMPRODUCT((A$3:A475=A476)*(C$3:C475="Compra")*D$3:D475)))*D476,0),"")</f>
        <v/>
      </c>
      <c r="H476" s="12" t="str">
        <f aca="false">IF(C476="Venda",E476*D476,"")</f>
        <v/>
      </c>
    </row>
    <row r="477" customFormat="false" ht="15" hidden="false" customHeight="false" outlineLevel="0" collapsed="false">
      <c r="A477" s="14" t="str">
        <f aca="false">IF(Transações!C477&lt;&gt;"",Transações!C477,"")</f>
        <v/>
      </c>
      <c r="B477" s="14" t="str">
        <f aca="false">IF(Transações!A477&lt;&gt;"",Transações!A477,"")</f>
        <v/>
      </c>
      <c r="C477" s="14" t="str">
        <f aca="false">IF(Transações!B477&lt;&gt;"",Transações!B477,"")</f>
        <v/>
      </c>
      <c r="D477" s="15" t="str">
        <f aca="false">IF(Transações!D477&lt;&gt;"",Transações!D477,"")</f>
        <v/>
      </c>
      <c r="E477" s="16" t="str">
        <f aca="false">IF(Transações!E477&lt;&gt;"",Transações!E477,"")</f>
        <v/>
      </c>
      <c r="F477" s="7" t="str">
        <f aca="false">IF(C477="Compra",D477*E477,IF(C477="Staking",D477*E477,""))</f>
        <v/>
      </c>
      <c r="G477" s="7" t="str">
        <f aca="false">IF(C477="Venda",IF(COUNTIF(A$3:A476,A477)&gt;0,(E477-SUMPRODUCT((A$3:A476=A477)*(C$3:C476="Compra")*F$3:F476)/IF(SUMPRODUCT((A$3:A476=A477)*(C$3:C476="Compra")*D$3:D476)=0,1,SUMPRODUCT((A$3:A476=A477)*(C$3:C476="Compra")*D$3:D476)))*D477,0),"")</f>
        <v/>
      </c>
      <c r="H477" s="7" t="str">
        <f aca="false">IF(C477="Venda",E477*D477,"")</f>
        <v/>
      </c>
    </row>
    <row r="478" customFormat="false" ht="15" hidden="false" customHeight="false" outlineLevel="0" collapsed="false">
      <c r="A478" s="17" t="str">
        <f aca="false">IF(Transações!C478&lt;&gt;"",Transações!C478,"")</f>
        <v/>
      </c>
      <c r="B478" s="17" t="str">
        <f aca="false">IF(Transações!A478&lt;&gt;"",Transações!A478,"")</f>
        <v/>
      </c>
      <c r="C478" s="17" t="str">
        <f aca="false">IF(Transações!B478&lt;&gt;"",Transações!B478,"")</f>
        <v/>
      </c>
      <c r="D478" s="18" t="str">
        <f aca="false">IF(Transações!D478&lt;&gt;"",Transações!D478,"")</f>
        <v/>
      </c>
      <c r="E478" s="19" t="str">
        <f aca="false">IF(Transações!E478&lt;&gt;"",Transações!E478,"")</f>
        <v/>
      </c>
      <c r="F478" s="12" t="str">
        <f aca="false">IF(C478="Compra",D478*E478,IF(C478="Staking",D478*E478,""))</f>
        <v/>
      </c>
      <c r="G478" s="12" t="str">
        <f aca="false">IF(C478="Venda",IF(COUNTIF(A$3:A477,A478)&gt;0,(E478-SUMPRODUCT((A$3:A477=A478)*(C$3:C477="Compra")*F$3:F477)/IF(SUMPRODUCT((A$3:A477=A478)*(C$3:C477="Compra")*D$3:D477)=0,1,SUMPRODUCT((A$3:A477=A478)*(C$3:C477="Compra")*D$3:D477)))*D478,0),"")</f>
        <v/>
      </c>
      <c r="H478" s="12" t="str">
        <f aca="false">IF(C478="Venda",E478*D478,"")</f>
        <v/>
      </c>
    </row>
    <row r="479" customFormat="false" ht="15" hidden="false" customHeight="false" outlineLevel="0" collapsed="false">
      <c r="A479" s="14" t="str">
        <f aca="false">IF(Transações!C479&lt;&gt;"",Transações!C479,"")</f>
        <v/>
      </c>
      <c r="B479" s="14" t="str">
        <f aca="false">IF(Transações!A479&lt;&gt;"",Transações!A479,"")</f>
        <v/>
      </c>
      <c r="C479" s="14" t="str">
        <f aca="false">IF(Transações!B479&lt;&gt;"",Transações!B479,"")</f>
        <v/>
      </c>
      <c r="D479" s="15" t="str">
        <f aca="false">IF(Transações!D479&lt;&gt;"",Transações!D479,"")</f>
        <v/>
      </c>
      <c r="E479" s="16" t="str">
        <f aca="false">IF(Transações!E479&lt;&gt;"",Transações!E479,"")</f>
        <v/>
      </c>
      <c r="F479" s="7" t="str">
        <f aca="false">IF(C479="Compra",D479*E479,IF(C479="Staking",D479*E479,""))</f>
        <v/>
      </c>
      <c r="G479" s="7" t="str">
        <f aca="false">IF(C479="Venda",IF(COUNTIF(A$3:A478,A479)&gt;0,(E479-SUMPRODUCT((A$3:A478=A479)*(C$3:C478="Compra")*F$3:F478)/IF(SUMPRODUCT((A$3:A478=A479)*(C$3:C478="Compra")*D$3:D478)=0,1,SUMPRODUCT((A$3:A478=A479)*(C$3:C478="Compra")*D$3:D478)))*D479,0),"")</f>
        <v/>
      </c>
      <c r="H479" s="7" t="str">
        <f aca="false">IF(C479="Venda",E479*D479,"")</f>
        <v/>
      </c>
    </row>
    <row r="480" customFormat="false" ht="15" hidden="false" customHeight="false" outlineLevel="0" collapsed="false">
      <c r="A480" s="17" t="str">
        <f aca="false">IF(Transações!C480&lt;&gt;"",Transações!C480,"")</f>
        <v/>
      </c>
      <c r="B480" s="17" t="str">
        <f aca="false">IF(Transações!A480&lt;&gt;"",Transações!A480,"")</f>
        <v/>
      </c>
      <c r="C480" s="17" t="str">
        <f aca="false">IF(Transações!B480&lt;&gt;"",Transações!B480,"")</f>
        <v/>
      </c>
      <c r="D480" s="18" t="str">
        <f aca="false">IF(Transações!D480&lt;&gt;"",Transações!D480,"")</f>
        <v/>
      </c>
      <c r="E480" s="19" t="str">
        <f aca="false">IF(Transações!E480&lt;&gt;"",Transações!E480,"")</f>
        <v/>
      </c>
      <c r="F480" s="12" t="str">
        <f aca="false">IF(C480="Compra",D480*E480,IF(C480="Staking",D480*E480,""))</f>
        <v/>
      </c>
      <c r="G480" s="12" t="str">
        <f aca="false">IF(C480="Venda",IF(COUNTIF(A$3:A479,A480)&gt;0,(E480-SUMPRODUCT((A$3:A479=A480)*(C$3:C479="Compra")*F$3:F479)/IF(SUMPRODUCT((A$3:A479=A480)*(C$3:C479="Compra")*D$3:D479)=0,1,SUMPRODUCT((A$3:A479=A480)*(C$3:C479="Compra")*D$3:D479)))*D480,0),"")</f>
        <v/>
      </c>
      <c r="H480" s="12" t="str">
        <f aca="false">IF(C480="Venda",E480*D480,"")</f>
        <v/>
      </c>
    </row>
    <row r="481" customFormat="false" ht="15" hidden="false" customHeight="false" outlineLevel="0" collapsed="false">
      <c r="A481" s="14" t="str">
        <f aca="false">IF(Transações!C481&lt;&gt;"",Transações!C481,"")</f>
        <v/>
      </c>
      <c r="B481" s="14" t="str">
        <f aca="false">IF(Transações!A481&lt;&gt;"",Transações!A481,"")</f>
        <v/>
      </c>
      <c r="C481" s="14" t="str">
        <f aca="false">IF(Transações!B481&lt;&gt;"",Transações!B481,"")</f>
        <v/>
      </c>
      <c r="D481" s="15" t="str">
        <f aca="false">IF(Transações!D481&lt;&gt;"",Transações!D481,"")</f>
        <v/>
      </c>
      <c r="E481" s="16" t="str">
        <f aca="false">IF(Transações!E481&lt;&gt;"",Transações!E481,"")</f>
        <v/>
      </c>
      <c r="F481" s="7" t="str">
        <f aca="false">IF(C481="Compra",D481*E481,IF(C481="Staking",D481*E481,""))</f>
        <v/>
      </c>
      <c r="G481" s="7" t="str">
        <f aca="false">IF(C481="Venda",IF(COUNTIF(A$3:A480,A481)&gt;0,(E481-SUMPRODUCT((A$3:A480=A481)*(C$3:C480="Compra")*F$3:F480)/IF(SUMPRODUCT((A$3:A480=A481)*(C$3:C480="Compra")*D$3:D480)=0,1,SUMPRODUCT((A$3:A480=A481)*(C$3:C480="Compra")*D$3:D480)))*D481,0),"")</f>
        <v/>
      </c>
      <c r="H481" s="7" t="str">
        <f aca="false">IF(C481="Venda",E481*D481,"")</f>
        <v/>
      </c>
    </row>
    <row r="482" customFormat="false" ht="15" hidden="false" customHeight="false" outlineLevel="0" collapsed="false">
      <c r="A482" s="17" t="str">
        <f aca="false">IF(Transações!C482&lt;&gt;"",Transações!C482,"")</f>
        <v/>
      </c>
      <c r="B482" s="17" t="str">
        <f aca="false">IF(Transações!A482&lt;&gt;"",Transações!A482,"")</f>
        <v/>
      </c>
      <c r="C482" s="17" t="str">
        <f aca="false">IF(Transações!B482&lt;&gt;"",Transações!B482,"")</f>
        <v/>
      </c>
      <c r="D482" s="18" t="str">
        <f aca="false">IF(Transações!D482&lt;&gt;"",Transações!D482,"")</f>
        <v/>
      </c>
      <c r="E482" s="19" t="str">
        <f aca="false">IF(Transações!E482&lt;&gt;"",Transações!E482,"")</f>
        <v/>
      </c>
      <c r="F482" s="12" t="str">
        <f aca="false">IF(C482="Compra",D482*E482,IF(C482="Staking",D482*E482,""))</f>
        <v/>
      </c>
      <c r="G482" s="12" t="str">
        <f aca="false">IF(C482="Venda",IF(COUNTIF(A$3:A481,A482)&gt;0,(E482-SUMPRODUCT((A$3:A481=A482)*(C$3:C481="Compra")*F$3:F481)/IF(SUMPRODUCT((A$3:A481=A482)*(C$3:C481="Compra")*D$3:D481)=0,1,SUMPRODUCT((A$3:A481=A482)*(C$3:C481="Compra")*D$3:D481)))*D482,0),"")</f>
        <v/>
      </c>
      <c r="H482" s="12" t="str">
        <f aca="false">IF(C482="Venda",E482*D482,"")</f>
        <v/>
      </c>
    </row>
    <row r="483" customFormat="false" ht="15" hidden="false" customHeight="false" outlineLevel="0" collapsed="false">
      <c r="A483" s="14" t="str">
        <f aca="false">IF(Transações!C483&lt;&gt;"",Transações!C483,"")</f>
        <v/>
      </c>
      <c r="B483" s="14" t="str">
        <f aca="false">IF(Transações!A483&lt;&gt;"",Transações!A483,"")</f>
        <v/>
      </c>
      <c r="C483" s="14" t="str">
        <f aca="false">IF(Transações!B483&lt;&gt;"",Transações!B483,"")</f>
        <v/>
      </c>
      <c r="D483" s="15" t="str">
        <f aca="false">IF(Transações!D483&lt;&gt;"",Transações!D483,"")</f>
        <v/>
      </c>
      <c r="E483" s="16" t="str">
        <f aca="false">IF(Transações!E483&lt;&gt;"",Transações!E483,"")</f>
        <v/>
      </c>
      <c r="F483" s="7" t="str">
        <f aca="false">IF(C483="Compra",D483*E483,IF(C483="Staking",D483*E483,""))</f>
        <v/>
      </c>
      <c r="G483" s="7" t="str">
        <f aca="false">IF(C483="Venda",IF(COUNTIF(A$3:A482,A483)&gt;0,(E483-SUMPRODUCT((A$3:A482=A483)*(C$3:C482="Compra")*F$3:F482)/IF(SUMPRODUCT((A$3:A482=A483)*(C$3:C482="Compra")*D$3:D482)=0,1,SUMPRODUCT((A$3:A482=A483)*(C$3:C482="Compra")*D$3:D482)))*D483,0),"")</f>
        <v/>
      </c>
      <c r="H483" s="7" t="str">
        <f aca="false">IF(C483="Venda",E483*D483,"")</f>
        <v/>
      </c>
    </row>
    <row r="484" customFormat="false" ht="15" hidden="false" customHeight="false" outlineLevel="0" collapsed="false">
      <c r="A484" s="17" t="str">
        <f aca="false">IF(Transações!C484&lt;&gt;"",Transações!C484,"")</f>
        <v/>
      </c>
      <c r="B484" s="17" t="str">
        <f aca="false">IF(Transações!A484&lt;&gt;"",Transações!A484,"")</f>
        <v/>
      </c>
      <c r="C484" s="17" t="str">
        <f aca="false">IF(Transações!B484&lt;&gt;"",Transações!B484,"")</f>
        <v/>
      </c>
      <c r="D484" s="18" t="str">
        <f aca="false">IF(Transações!D484&lt;&gt;"",Transações!D484,"")</f>
        <v/>
      </c>
      <c r="E484" s="19" t="str">
        <f aca="false">IF(Transações!E484&lt;&gt;"",Transações!E484,"")</f>
        <v/>
      </c>
      <c r="F484" s="12" t="str">
        <f aca="false">IF(C484="Compra",D484*E484,IF(C484="Staking",D484*E484,""))</f>
        <v/>
      </c>
      <c r="G484" s="12" t="str">
        <f aca="false">IF(C484="Venda",IF(COUNTIF(A$3:A483,A484)&gt;0,(E484-SUMPRODUCT((A$3:A483=A484)*(C$3:C483="Compra")*F$3:F483)/IF(SUMPRODUCT((A$3:A483=A484)*(C$3:C483="Compra")*D$3:D483)=0,1,SUMPRODUCT((A$3:A483=A484)*(C$3:C483="Compra")*D$3:D483)))*D484,0),"")</f>
        <v/>
      </c>
      <c r="H484" s="12" t="str">
        <f aca="false">IF(C484="Venda",E484*D484,"")</f>
        <v/>
      </c>
    </row>
    <row r="485" customFormat="false" ht="15" hidden="false" customHeight="false" outlineLevel="0" collapsed="false">
      <c r="A485" s="14" t="str">
        <f aca="false">IF(Transações!C485&lt;&gt;"",Transações!C485,"")</f>
        <v/>
      </c>
      <c r="B485" s="14" t="str">
        <f aca="false">IF(Transações!A485&lt;&gt;"",Transações!A485,"")</f>
        <v/>
      </c>
      <c r="C485" s="14" t="str">
        <f aca="false">IF(Transações!B485&lt;&gt;"",Transações!B485,"")</f>
        <v/>
      </c>
      <c r="D485" s="15" t="str">
        <f aca="false">IF(Transações!D485&lt;&gt;"",Transações!D485,"")</f>
        <v/>
      </c>
      <c r="E485" s="16" t="str">
        <f aca="false">IF(Transações!E485&lt;&gt;"",Transações!E485,"")</f>
        <v/>
      </c>
      <c r="F485" s="7" t="str">
        <f aca="false">IF(C485="Compra",D485*E485,IF(C485="Staking",D485*E485,""))</f>
        <v/>
      </c>
      <c r="G485" s="7" t="str">
        <f aca="false">IF(C485="Venda",IF(COUNTIF(A$3:A484,A485)&gt;0,(E485-SUMPRODUCT((A$3:A484=A485)*(C$3:C484="Compra")*F$3:F484)/IF(SUMPRODUCT((A$3:A484=A485)*(C$3:C484="Compra")*D$3:D484)=0,1,SUMPRODUCT((A$3:A484=A485)*(C$3:C484="Compra")*D$3:D484)))*D485,0),"")</f>
        <v/>
      </c>
      <c r="H485" s="7" t="str">
        <f aca="false">IF(C485="Venda",E485*D485,"")</f>
        <v/>
      </c>
    </row>
    <row r="486" customFormat="false" ht="15" hidden="false" customHeight="false" outlineLevel="0" collapsed="false">
      <c r="A486" s="17" t="str">
        <f aca="false">IF(Transações!C486&lt;&gt;"",Transações!C486,"")</f>
        <v/>
      </c>
      <c r="B486" s="17" t="str">
        <f aca="false">IF(Transações!A486&lt;&gt;"",Transações!A486,"")</f>
        <v/>
      </c>
      <c r="C486" s="17" t="str">
        <f aca="false">IF(Transações!B486&lt;&gt;"",Transações!B486,"")</f>
        <v/>
      </c>
      <c r="D486" s="18" t="str">
        <f aca="false">IF(Transações!D486&lt;&gt;"",Transações!D486,"")</f>
        <v/>
      </c>
      <c r="E486" s="19" t="str">
        <f aca="false">IF(Transações!E486&lt;&gt;"",Transações!E486,"")</f>
        <v/>
      </c>
      <c r="F486" s="12" t="str">
        <f aca="false">IF(C486="Compra",D486*E486,IF(C486="Staking",D486*E486,""))</f>
        <v/>
      </c>
      <c r="G486" s="12" t="str">
        <f aca="false">IF(C486="Venda",IF(COUNTIF(A$3:A485,A486)&gt;0,(E486-SUMPRODUCT((A$3:A485=A486)*(C$3:C485="Compra")*F$3:F485)/IF(SUMPRODUCT((A$3:A485=A486)*(C$3:C485="Compra")*D$3:D485)=0,1,SUMPRODUCT((A$3:A485=A486)*(C$3:C485="Compra")*D$3:D485)))*D486,0),"")</f>
        <v/>
      </c>
      <c r="H486" s="12" t="str">
        <f aca="false">IF(C486="Venda",E486*D486,"")</f>
        <v/>
      </c>
    </row>
    <row r="487" customFormat="false" ht="15" hidden="false" customHeight="false" outlineLevel="0" collapsed="false">
      <c r="A487" s="14" t="str">
        <f aca="false">IF(Transações!C487&lt;&gt;"",Transações!C487,"")</f>
        <v/>
      </c>
      <c r="B487" s="14" t="str">
        <f aca="false">IF(Transações!A487&lt;&gt;"",Transações!A487,"")</f>
        <v/>
      </c>
      <c r="C487" s="14" t="str">
        <f aca="false">IF(Transações!B487&lt;&gt;"",Transações!B487,"")</f>
        <v/>
      </c>
      <c r="D487" s="15" t="str">
        <f aca="false">IF(Transações!D487&lt;&gt;"",Transações!D487,"")</f>
        <v/>
      </c>
      <c r="E487" s="16" t="str">
        <f aca="false">IF(Transações!E487&lt;&gt;"",Transações!E487,"")</f>
        <v/>
      </c>
      <c r="F487" s="7" t="str">
        <f aca="false">IF(C487="Compra",D487*E487,IF(C487="Staking",D487*E487,""))</f>
        <v/>
      </c>
      <c r="G487" s="7" t="str">
        <f aca="false">IF(C487="Venda",IF(COUNTIF(A$3:A486,A487)&gt;0,(E487-SUMPRODUCT((A$3:A486=A487)*(C$3:C486="Compra")*F$3:F486)/IF(SUMPRODUCT((A$3:A486=A487)*(C$3:C486="Compra")*D$3:D486)=0,1,SUMPRODUCT((A$3:A486=A487)*(C$3:C486="Compra")*D$3:D486)))*D487,0),"")</f>
        <v/>
      </c>
      <c r="H487" s="7" t="str">
        <f aca="false">IF(C487="Venda",E487*D487,"")</f>
        <v/>
      </c>
    </row>
    <row r="488" customFormat="false" ht="15" hidden="false" customHeight="false" outlineLevel="0" collapsed="false">
      <c r="A488" s="17" t="str">
        <f aca="false">IF(Transações!C488&lt;&gt;"",Transações!C488,"")</f>
        <v/>
      </c>
      <c r="B488" s="17" t="str">
        <f aca="false">IF(Transações!A488&lt;&gt;"",Transações!A488,"")</f>
        <v/>
      </c>
      <c r="C488" s="17" t="str">
        <f aca="false">IF(Transações!B488&lt;&gt;"",Transações!B488,"")</f>
        <v/>
      </c>
      <c r="D488" s="18" t="str">
        <f aca="false">IF(Transações!D488&lt;&gt;"",Transações!D488,"")</f>
        <v/>
      </c>
      <c r="E488" s="19" t="str">
        <f aca="false">IF(Transações!E488&lt;&gt;"",Transações!E488,"")</f>
        <v/>
      </c>
      <c r="F488" s="12" t="str">
        <f aca="false">IF(C488="Compra",D488*E488,IF(C488="Staking",D488*E488,""))</f>
        <v/>
      </c>
      <c r="G488" s="12" t="str">
        <f aca="false">IF(C488="Venda",IF(COUNTIF(A$3:A487,A488)&gt;0,(E488-SUMPRODUCT((A$3:A487=A488)*(C$3:C487="Compra")*F$3:F487)/IF(SUMPRODUCT((A$3:A487=A488)*(C$3:C487="Compra")*D$3:D487)=0,1,SUMPRODUCT((A$3:A487=A488)*(C$3:C487="Compra")*D$3:D487)))*D488,0),"")</f>
        <v/>
      </c>
      <c r="H488" s="12" t="str">
        <f aca="false">IF(C488="Venda",E488*D488,"")</f>
        <v/>
      </c>
    </row>
    <row r="489" customFormat="false" ht="15" hidden="false" customHeight="false" outlineLevel="0" collapsed="false">
      <c r="A489" s="14" t="str">
        <f aca="false">IF(Transações!C489&lt;&gt;"",Transações!C489,"")</f>
        <v/>
      </c>
      <c r="B489" s="14" t="str">
        <f aca="false">IF(Transações!A489&lt;&gt;"",Transações!A489,"")</f>
        <v/>
      </c>
      <c r="C489" s="14" t="str">
        <f aca="false">IF(Transações!B489&lt;&gt;"",Transações!B489,"")</f>
        <v/>
      </c>
      <c r="D489" s="15" t="str">
        <f aca="false">IF(Transações!D489&lt;&gt;"",Transações!D489,"")</f>
        <v/>
      </c>
      <c r="E489" s="16" t="str">
        <f aca="false">IF(Transações!E489&lt;&gt;"",Transações!E489,"")</f>
        <v/>
      </c>
      <c r="F489" s="7" t="str">
        <f aca="false">IF(C489="Compra",D489*E489,IF(C489="Staking",D489*E489,""))</f>
        <v/>
      </c>
      <c r="G489" s="7" t="str">
        <f aca="false">IF(C489="Venda",IF(COUNTIF(A$3:A488,A489)&gt;0,(E489-SUMPRODUCT((A$3:A488=A489)*(C$3:C488="Compra")*F$3:F488)/IF(SUMPRODUCT((A$3:A488=A489)*(C$3:C488="Compra")*D$3:D488)=0,1,SUMPRODUCT((A$3:A488=A489)*(C$3:C488="Compra")*D$3:D488)))*D489,0),"")</f>
        <v/>
      </c>
      <c r="H489" s="7" t="str">
        <f aca="false">IF(C489="Venda",E489*D489,"")</f>
        <v/>
      </c>
    </row>
    <row r="490" customFormat="false" ht="15" hidden="false" customHeight="false" outlineLevel="0" collapsed="false">
      <c r="A490" s="17" t="str">
        <f aca="false">IF(Transações!C490&lt;&gt;"",Transações!C490,"")</f>
        <v/>
      </c>
      <c r="B490" s="17" t="str">
        <f aca="false">IF(Transações!A490&lt;&gt;"",Transações!A490,"")</f>
        <v/>
      </c>
      <c r="C490" s="17" t="str">
        <f aca="false">IF(Transações!B490&lt;&gt;"",Transações!B490,"")</f>
        <v/>
      </c>
      <c r="D490" s="18" t="str">
        <f aca="false">IF(Transações!D490&lt;&gt;"",Transações!D490,"")</f>
        <v/>
      </c>
      <c r="E490" s="19" t="str">
        <f aca="false">IF(Transações!E490&lt;&gt;"",Transações!E490,"")</f>
        <v/>
      </c>
      <c r="F490" s="12" t="str">
        <f aca="false">IF(C490="Compra",D490*E490,IF(C490="Staking",D490*E490,""))</f>
        <v/>
      </c>
      <c r="G490" s="12" t="str">
        <f aca="false">IF(C490="Venda",IF(COUNTIF(A$3:A489,A490)&gt;0,(E490-SUMPRODUCT((A$3:A489=A490)*(C$3:C489="Compra")*F$3:F489)/IF(SUMPRODUCT((A$3:A489=A490)*(C$3:C489="Compra")*D$3:D489)=0,1,SUMPRODUCT((A$3:A489=A490)*(C$3:C489="Compra")*D$3:D489)))*D490,0),"")</f>
        <v/>
      </c>
      <c r="H490" s="12" t="str">
        <f aca="false">IF(C490="Venda",E490*D490,"")</f>
        <v/>
      </c>
    </row>
    <row r="491" customFormat="false" ht="15" hidden="false" customHeight="false" outlineLevel="0" collapsed="false">
      <c r="A491" s="14" t="str">
        <f aca="false">IF(Transações!C491&lt;&gt;"",Transações!C491,"")</f>
        <v/>
      </c>
      <c r="B491" s="14" t="str">
        <f aca="false">IF(Transações!A491&lt;&gt;"",Transações!A491,"")</f>
        <v/>
      </c>
      <c r="C491" s="14" t="str">
        <f aca="false">IF(Transações!B491&lt;&gt;"",Transações!B491,"")</f>
        <v/>
      </c>
      <c r="D491" s="15" t="str">
        <f aca="false">IF(Transações!D491&lt;&gt;"",Transações!D491,"")</f>
        <v/>
      </c>
      <c r="E491" s="16" t="str">
        <f aca="false">IF(Transações!E491&lt;&gt;"",Transações!E491,"")</f>
        <v/>
      </c>
      <c r="F491" s="7" t="str">
        <f aca="false">IF(C491="Compra",D491*E491,IF(C491="Staking",D491*E491,""))</f>
        <v/>
      </c>
      <c r="G491" s="7" t="str">
        <f aca="false">IF(C491="Venda",IF(COUNTIF(A$3:A490,A491)&gt;0,(E491-SUMPRODUCT((A$3:A490=A491)*(C$3:C490="Compra")*F$3:F490)/IF(SUMPRODUCT((A$3:A490=A491)*(C$3:C490="Compra")*D$3:D490)=0,1,SUMPRODUCT((A$3:A490=A491)*(C$3:C490="Compra")*D$3:D490)))*D491,0),"")</f>
        <v/>
      </c>
      <c r="H491" s="7" t="str">
        <f aca="false">IF(C491="Venda",E491*D491,"")</f>
        <v/>
      </c>
    </row>
    <row r="492" customFormat="false" ht="15" hidden="false" customHeight="false" outlineLevel="0" collapsed="false">
      <c r="A492" s="17" t="str">
        <f aca="false">IF(Transações!C492&lt;&gt;"",Transações!C492,"")</f>
        <v/>
      </c>
      <c r="B492" s="17" t="str">
        <f aca="false">IF(Transações!A492&lt;&gt;"",Transações!A492,"")</f>
        <v/>
      </c>
      <c r="C492" s="17" t="str">
        <f aca="false">IF(Transações!B492&lt;&gt;"",Transações!B492,"")</f>
        <v/>
      </c>
      <c r="D492" s="18" t="str">
        <f aca="false">IF(Transações!D492&lt;&gt;"",Transações!D492,"")</f>
        <v/>
      </c>
      <c r="E492" s="19" t="str">
        <f aca="false">IF(Transações!E492&lt;&gt;"",Transações!E492,"")</f>
        <v/>
      </c>
      <c r="F492" s="12" t="str">
        <f aca="false">IF(C492="Compra",D492*E492,IF(C492="Staking",D492*E492,""))</f>
        <v/>
      </c>
      <c r="G492" s="12" t="str">
        <f aca="false">IF(C492="Venda",IF(COUNTIF(A$3:A491,A492)&gt;0,(E492-SUMPRODUCT((A$3:A491=A492)*(C$3:C491="Compra")*F$3:F491)/IF(SUMPRODUCT((A$3:A491=A492)*(C$3:C491="Compra")*D$3:D491)=0,1,SUMPRODUCT((A$3:A491=A492)*(C$3:C491="Compra")*D$3:D491)))*D492,0),"")</f>
        <v/>
      </c>
      <c r="H492" s="12" t="str">
        <f aca="false">IF(C492="Venda",E492*D492,"")</f>
        <v/>
      </c>
    </row>
    <row r="493" customFormat="false" ht="15" hidden="false" customHeight="false" outlineLevel="0" collapsed="false">
      <c r="A493" s="14" t="str">
        <f aca="false">IF(Transações!C493&lt;&gt;"",Transações!C493,"")</f>
        <v/>
      </c>
      <c r="B493" s="14" t="str">
        <f aca="false">IF(Transações!A493&lt;&gt;"",Transações!A493,"")</f>
        <v/>
      </c>
      <c r="C493" s="14" t="str">
        <f aca="false">IF(Transações!B493&lt;&gt;"",Transações!B493,"")</f>
        <v/>
      </c>
      <c r="D493" s="15" t="str">
        <f aca="false">IF(Transações!D493&lt;&gt;"",Transações!D493,"")</f>
        <v/>
      </c>
      <c r="E493" s="16" t="str">
        <f aca="false">IF(Transações!E493&lt;&gt;"",Transações!E493,"")</f>
        <v/>
      </c>
      <c r="F493" s="7" t="str">
        <f aca="false">IF(C493="Compra",D493*E493,IF(C493="Staking",D493*E493,""))</f>
        <v/>
      </c>
      <c r="G493" s="7" t="str">
        <f aca="false">IF(C493="Venda",IF(COUNTIF(A$3:A492,A493)&gt;0,(E493-SUMPRODUCT((A$3:A492=A493)*(C$3:C492="Compra")*F$3:F492)/IF(SUMPRODUCT((A$3:A492=A493)*(C$3:C492="Compra")*D$3:D492)=0,1,SUMPRODUCT((A$3:A492=A493)*(C$3:C492="Compra")*D$3:D492)))*D493,0),"")</f>
        <v/>
      </c>
      <c r="H493" s="7" t="str">
        <f aca="false">IF(C493="Venda",E493*D493,"")</f>
        <v/>
      </c>
    </row>
    <row r="494" customFormat="false" ht="15" hidden="false" customHeight="false" outlineLevel="0" collapsed="false">
      <c r="A494" s="17" t="str">
        <f aca="false">IF(Transações!C494&lt;&gt;"",Transações!C494,"")</f>
        <v/>
      </c>
      <c r="B494" s="17" t="str">
        <f aca="false">IF(Transações!A494&lt;&gt;"",Transações!A494,"")</f>
        <v/>
      </c>
      <c r="C494" s="17" t="str">
        <f aca="false">IF(Transações!B494&lt;&gt;"",Transações!B494,"")</f>
        <v/>
      </c>
      <c r="D494" s="18" t="str">
        <f aca="false">IF(Transações!D494&lt;&gt;"",Transações!D494,"")</f>
        <v/>
      </c>
      <c r="E494" s="19" t="str">
        <f aca="false">IF(Transações!E494&lt;&gt;"",Transações!E494,"")</f>
        <v/>
      </c>
      <c r="F494" s="12" t="str">
        <f aca="false">IF(C494="Compra",D494*E494,IF(C494="Staking",D494*E494,""))</f>
        <v/>
      </c>
      <c r="G494" s="12" t="str">
        <f aca="false">IF(C494="Venda",IF(COUNTIF(A$3:A493,A494)&gt;0,(E494-SUMPRODUCT((A$3:A493=A494)*(C$3:C493="Compra")*F$3:F493)/IF(SUMPRODUCT((A$3:A493=A494)*(C$3:C493="Compra")*D$3:D493)=0,1,SUMPRODUCT((A$3:A493=A494)*(C$3:C493="Compra")*D$3:D493)))*D494,0),"")</f>
        <v/>
      </c>
      <c r="H494" s="12" t="str">
        <f aca="false">IF(C494="Venda",E494*D494,"")</f>
        <v/>
      </c>
    </row>
    <row r="495" customFormat="false" ht="15" hidden="false" customHeight="false" outlineLevel="0" collapsed="false">
      <c r="A495" s="14" t="str">
        <f aca="false">IF(Transações!C495&lt;&gt;"",Transações!C495,"")</f>
        <v/>
      </c>
      <c r="B495" s="14" t="str">
        <f aca="false">IF(Transações!A495&lt;&gt;"",Transações!A495,"")</f>
        <v/>
      </c>
      <c r="C495" s="14" t="str">
        <f aca="false">IF(Transações!B495&lt;&gt;"",Transações!B495,"")</f>
        <v/>
      </c>
      <c r="D495" s="15" t="str">
        <f aca="false">IF(Transações!D495&lt;&gt;"",Transações!D495,"")</f>
        <v/>
      </c>
      <c r="E495" s="16" t="str">
        <f aca="false">IF(Transações!E495&lt;&gt;"",Transações!E495,"")</f>
        <v/>
      </c>
      <c r="F495" s="7" t="str">
        <f aca="false">IF(C495="Compra",D495*E495,IF(C495="Staking",D495*E495,""))</f>
        <v/>
      </c>
      <c r="G495" s="7" t="str">
        <f aca="false">IF(C495="Venda",IF(COUNTIF(A$3:A494,A495)&gt;0,(E495-SUMPRODUCT((A$3:A494=A495)*(C$3:C494="Compra")*F$3:F494)/IF(SUMPRODUCT((A$3:A494=A495)*(C$3:C494="Compra")*D$3:D494)=0,1,SUMPRODUCT((A$3:A494=A495)*(C$3:C494="Compra")*D$3:D494)))*D495,0),"")</f>
        <v/>
      </c>
      <c r="H495" s="7" t="str">
        <f aca="false">IF(C495="Venda",E495*D495,"")</f>
        <v/>
      </c>
    </row>
    <row r="496" customFormat="false" ht="15" hidden="false" customHeight="false" outlineLevel="0" collapsed="false">
      <c r="A496" s="17" t="str">
        <f aca="false">IF(Transações!C496&lt;&gt;"",Transações!C496,"")</f>
        <v/>
      </c>
      <c r="B496" s="17" t="str">
        <f aca="false">IF(Transações!A496&lt;&gt;"",Transações!A496,"")</f>
        <v/>
      </c>
      <c r="C496" s="17" t="str">
        <f aca="false">IF(Transações!B496&lt;&gt;"",Transações!B496,"")</f>
        <v/>
      </c>
      <c r="D496" s="18" t="str">
        <f aca="false">IF(Transações!D496&lt;&gt;"",Transações!D496,"")</f>
        <v/>
      </c>
      <c r="E496" s="19" t="str">
        <f aca="false">IF(Transações!E496&lt;&gt;"",Transações!E496,"")</f>
        <v/>
      </c>
      <c r="F496" s="12" t="str">
        <f aca="false">IF(C496="Compra",D496*E496,IF(C496="Staking",D496*E496,""))</f>
        <v/>
      </c>
      <c r="G496" s="12" t="str">
        <f aca="false">IF(C496="Venda",IF(COUNTIF(A$3:A495,A496)&gt;0,(E496-SUMPRODUCT((A$3:A495=A496)*(C$3:C495="Compra")*F$3:F495)/IF(SUMPRODUCT((A$3:A495=A496)*(C$3:C495="Compra")*D$3:D495)=0,1,SUMPRODUCT((A$3:A495=A496)*(C$3:C495="Compra")*D$3:D495)))*D496,0),"")</f>
        <v/>
      </c>
      <c r="H496" s="12" t="str">
        <f aca="false">IF(C496="Venda",E496*D496,"")</f>
        <v/>
      </c>
    </row>
    <row r="497" customFormat="false" ht="15" hidden="false" customHeight="false" outlineLevel="0" collapsed="false">
      <c r="A497" s="14" t="str">
        <f aca="false">IF(Transações!C497&lt;&gt;"",Transações!C497,"")</f>
        <v/>
      </c>
      <c r="B497" s="14" t="str">
        <f aca="false">IF(Transações!A497&lt;&gt;"",Transações!A497,"")</f>
        <v/>
      </c>
      <c r="C497" s="14" t="str">
        <f aca="false">IF(Transações!B497&lt;&gt;"",Transações!B497,"")</f>
        <v/>
      </c>
      <c r="D497" s="15" t="str">
        <f aca="false">IF(Transações!D497&lt;&gt;"",Transações!D497,"")</f>
        <v/>
      </c>
      <c r="E497" s="16" t="str">
        <f aca="false">IF(Transações!E497&lt;&gt;"",Transações!E497,"")</f>
        <v/>
      </c>
      <c r="F497" s="7" t="str">
        <f aca="false">IF(C497="Compra",D497*E497,IF(C497="Staking",D497*E497,""))</f>
        <v/>
      </c>
      <c r="G497" s="7" t="str">
        <f aca="false">IF(C497="Venda",IF(COUNTIF(A$3:A496,A497)&gt;0,(E497-SUMPRODUCT((A$3:A496=A497)*(C$3:C496="Compra")*F$3:F496)/IF(SUMPRODUCT((A$3:A496=A497)*(C$3:C496="Compra")*D$3:D496)=0,1,SUMPRODUCT((A$3:A496=A497)*(C$3:C496="Compra")*D$3:D496)))*D497,0),"")</f>
        <v/>
      </c>
      <c r="H497" s="7" t="str">
        <f aca="false">IF(C497="Venda",E497*D497,"")</f>
        <v/>
      </c>
    </row>
    <row r="498" customFormat="false" ht="15" hidden="false" customHeight="false" outlineLevel="0" collapsed="false">
      <c r="A498" s="17" t="str">
        <f aca="false">IF(Transações!C498&lt;&gt;"",Transações!C498,"")</f>
        <v/>
      </c>
      <c r="B498" s="17" t="str">
        <f aca="false">IF(Transações!A498&lt;&gt;"",Transações!A498,"")</f>
        <v/>
      </c>
      <c r="C498" s="17" t="str">
        <f aca="false">IF(Transações!B498&lt;&gt;"",Transações!B498,"")</f>
        <v/>
      </c>
      <c r="D498" s="18" t="str">
        <f aca="false">IF(Transações!D498&lt;&gt;"",Transações!D498,"")</f>
        <v/>
      </c>
      <c r="E498" s="19" t="str">
        <f aca="false">IF(Transações!E498&lt;&gt;"",Transações!E498,"")</f>
        <v/>
      </c>
      <c r="F498" s="12" t="str">
        <f aca="false">IF(C498="Compra",D498*E498,IF(C498="Staking",D498*E498,""))</f>
        <v/>
      </c>
      <c r="G498" s="12" t="str">
        <f aca="false">IF(C498="Venda",IF(COUNTIF(A$3:A497,A498)&gt;0,(E498-SUMPRODUCT((A$3:A497=A498)*(C$3:C497="Compra")*F$3:F497)/IF(SUMPRODUCT((A$3:A497=A498)*(C$3:C497="Compra")*D$3:D497)=0,1,SUMPRODUCT((A$3:A497=A498)*(C$3:C497="Compra")*D$3:D497)))*D498,0),"")</f>
        <v/>
      </c>
      <c r="H498" s="12" t="str">
        <f aca="false">IF(C498="Venda",E498*D498,"")</f>
        <v/>
      </c>
    </row>
    <row r="499" customFormat="false" ht="15" hidden="false" customHeight="false" outlineLevel="0" collapsed="false">
      <c r="A499" s="14" t="str">
        <f aca="false">IF(Transações!C499&lt;&gt;"",Transações!C499,"")</f>
        <v/>
      </c>
      <c r="B499" s="14" t="str">
        <f aca="false">IF(Transações!A499&lt;&gt;"",Transações!A499,"")</f>
        <v/>
      </c>
      <c r="C499" s="14" t="str">
        <f aca="false">IF(Transações!B499&lt;&gt;"",Transações!B499,"")</f>
        <v/>
      </c>
      <c r="D499" s="15" t="str">
        <f aca="false">IF(Transações!D499&lt;&gt;"",Transações!D499,"")</f>
        <v/>
      </c>
      <c r="E499" s="16" t="str">
        <f aca="false">IF(Transações!E499&lt;&gt;"",Transações!E499,"")</f>
        <v/>
      </c>
      <c r="F499" s="7" t="str">
        <f aca="false">IF(C499="Compra",D499*E499,IF(C499="Staking",D499*E499,""))</f>
        <v/>
      </c>
      <c r="G499" s="7" t="str">
        <f aca="false">IF(C499="Venda",IF(COUNTIF(A$3:A498,A499)&gt;0,(E499-SUMPRODUCT((A$3:A498=A499)*(C$3:C498="Compra")*F$3:F498)/IF(SUMPRODUCT((A$3:A498=A499)*(C$3:C498="Compra")*D$3:D498)=0,1,SUMPRODUCT((A$3:A498=A499)*(C$3:C498="Compra")*D$3:D498)))*D499,0),"")</f>
        <v/>
      </c>
      <c r="H499" s="7" t="str">
        <f aca="false">IF(C499="Venda",E499*D499,"")</f>
        <v/>
      </c>
    </row>
    <row r="500" customFormat="false" ht="15" hidden="false" customHeight="false" outlineLevel="0" collapsed="false">
      <c r="A500" s="17" t="str">
        <f aca="false">IF(Transações!C500&lt;&gt;"",Transações!C500,"")</f>
        <v/>
      </c>
      <c r="B500" s="17" t="str">
        <f aca="false">IF(Transações!A500&lt;&gt;"",Transações!A500,"")</f>
        <v/>
      </c>
      <c r="C500" s="17" t="str">
        <f aca="false">IF(Transações!B500&lt;&gt;"",Transações!B500,"")</f>
        <v/>
      </c>
      <c r="D500" s="18" t="str">
        <f aca="false">IF(Transações!D500&lt;&gt;"",Transações!D500,"")</f>
        <v/>
      </c>
      <c r="E500" s="19" t="str">
        <f aca="false">IF(Transações!E500&lt;&gt;"",Transações!E500,"")</f>
        <v/>
      </c>
      <c r="F500" s="12" t="str">
        <f aca="false">IF(C500="Compra",D500*E500,IF(C500="Staking",D500*E500,""))</f>
        <v/>
      </c>
      <c r="G500" s="12" t="str">
        <f aca="false">IF(C500="Venda",IF(COUNTIF(A$3:A499,A500)&gt;0,(E500-SUMPRODUCT((A$3:A499=A500)*(C$3:C499="Compra")*F$3:F499)/IF(SUMPRODUCT((A$3:A499=A500)*(C$3:C499="Compra")*D$3:D499)=0,1,SUMPRODUCT((A$3:A499=A500)*(C$3:C499="Compra")*D$3:D499)))*D500,0),"")</f>
        <v/>
      </c>
      <c r="H500" s="12" t="str">
        <f aca="false">IF(C500="Venda",E500*D500,"")</f>
        <v/>
      </c>
    </row>
    <row r="501" customFormat="false" ht="15" hidden="false" customHeight="false" outlineLevel="0" collapsed="false">
      <c r="A501" s="14" t="str">
        <f aca="false">IF(Transações!C501&lt;&gt;"",Transações!C501,"")</f>
        <v/>
      </c>
      <c r="B501" s="14" t="str">
        <f aca="false">IF(Transações!A501&lt;&gt;"",Transações!A501,"")</f>
        <v/>
      </c>
      <c r="C501" s="14" t="str">
        <f aca="false">IF(Transações!B501&lt;&gt;"",Transações!B501,"")</f>
        <v/>
      </c>
      <c r="D501" s="15" t="str">
        <f aca="false">IF(Transações!D501&lt;&gt;"",Transações!D501,"")</f>
        <v/>
      </c>
      <c r="E501" s="16" t="str">
        <f aca="false">IF(Transações!E501&lt;&gt;"",Transações!E501,"")</f>
        <v/>
      </c>
      <c r="F501" s="7" t="str">
        <f aca="false">IF(C501="Compra",D501*E501,IF(C501="Staking",D501*E501,""))</f>
        <v/>
      </c>
      <c r="G501" s="7" t="str">
        <f aca="false">IF(C501="Venda",IF(COUNTIF(A$3:A500,A501)&gt;0,(E501-SUMPRODUCT((A$3:A500=A501)*(C$3:C500="Compra")*F$3:F500)/IF(SUMPRODUCT((A$3:A500=A501)*(C$3:C500="Compra")*D$3:D500)=0,1,SUMPRODUCT((A$3:A500=A501)*(C$3:C500="Compra")*D$3:D500)))*D501,0),"")</f>
        <v/>
      </c>
      <c r="H501" s="7" t="str">
        <f aca="false">IF(C501="Venda",E501*D501,"")</f>
        <v/>
      </c>
    </row>
    <row r="502" customFormat="false" ht="15" hidden="false" customHeight="false" outlineLevel="0" collapsed="false">
      <c r="A502" s="17" t="str">
        <f aca="false">IF(Transações!C502&lt;&gt;"",Transações!C502,"")</f>
        <v/>
      </c>
      <c r="B502" s="17" t="str">
        <f aca="false">IF(Transações!A502&lt;&gt;"",Transações!A502,"")</f>
        <v/>
      </c>
      <c r="C502" s="17" t="str">
        <f aca="false">IF(Transações!B502&lt;&gt;"",Transações!B502,"")</f>
        <v/>
      </c>
      <c r="D502" s="18" t="str">
        <f aca="false">IF(Transações!D502&lt;&gt;"",Transações!D502,"")</f>
        <v/>
      </c>
      <c r="E502" s="19" t="str">
        <f aca="false">IF(Transações!E502&lt;&gt;"",Transações!E502,"")</f>
        <v/>
      </c>
      <c r="F502" s="12" t="str">
        <f aca="false">IF(C502="Compra",D502*E502,IF(C502="Staking",D502*E502,""))</f>
        <v/>
      </c>
      <c r="G502" s="12" t="str">
        <f aca="false">IF(C502="Venda",IF(COUNTIF(A$3:A501,A502)&gt;0,(E502-SUMPRODUCT((A$3:A501=A502)*(C$3:C501="Compra")*F$3:F501)/IF(SUMPRODUCT((A$3:A501=A502)*(C$3:C501="Compra")*D$3:D501)=0,1,SUMPRODUCT((A$3:A501=A502)*(C$3:C501="Compra")*D$3:D501)))*D502,0),"")</f>
        <v/>
      </c>
      <c r="H502" s="12" t="str">
        <f aca="false">IF(C502="Venda",E502*D502,"")</f>
        <v/>
      </c>
    </row>
    <row r="503" customFormat="false" ht="15" hidden="false" customHeight="false" outlineLevel="0" collapsed="false">
      <c r="A503" s="14" t="str">
        <f aca="false">IF(Transações!C503&lt;&gt;"",Transações!C503,"")</f>
        <v/>
      </c>
      <c r="B503" s="14" t="str">
        <f aca="false">IF(Transações!A503&lt;&gt;"",Transações!A503,"")</f>
        <v/>
      </c>
      <c r="C503" s="14" t="str">
        <f aca="false">IF(Transações!B503&lt;&gt;"",Transações!B503,"")</f>
        <v/>
      </c>
      <c r="D503" s="15" t="str">
        <f aca="false">IF(Transações!D503&lt;&gt;"",Transações!D503,"")</f>
        <v/>
      </c>
      <c r="E503" s="16" t="str">
        <f aca="false">IF(Transações!E503&lt;&gt;"",Transações!E503,"")</f>
        <v/>
      </c>
      <c r="F503" s="7" t="str">
        <f aca="false">IF(C503="Compra",D503*E503,IF(C503="Staking",D503*E503,""))</f>
        <v/>
      </c>
      <c r="G503" s="7" t="str">
        <f aca="false">IF(C503="Venda",IF(COUNTIF(A$3:A502,A503)&gt;0,(E503-SUMPRODUCT((A$3:A502=A503)*(C$3:C502="Compra")*F$3:F502)/IF(SUMPRODUCT((A$3:A502=A503)*(C$3:C502="Compra")*D$3:D502)=0,1,SUMPRODUCT((A$3:A502=A503)*(C$3:C502="Compra")*D$3:D502)))*D503,0),"")</f>
        <v/>
      </c>
      <c r="H503" s="7" t="str">
        <f aca="false">IF(C503="Venda",E503*D503,"")</f>
        <v/>
      </c>
    </row>
    <row r="504" customFormat="false" ht="15" hidden="false" customHeight="false" outlineLevel="0" collapsed="false">
      <c r="A504" s="17" t="str">
        <f aca="false">IF(Transações!C504&lt;&gt;"",Transações!C504,"")</f>
        <v/>
      </c>
      <c r="B504" s="17" t="str">
        <f aca="false">IF(Transações!A504&lt;&gt;"",Transações!A504,"")</f>
        <v/>
      </c>
      <c r="C504" s="17" t="str">
        <f aca="false">IF(Transações!B504&lt;&gt;"",Transações!B504,"")</f>
        <v/>
      </c>
      <c r="D504" s="18" t="str">
        <f aca="false">IF(Transações!D504&lt;&gt;"",Transações!D504,"")</f>
        <v/>
      </c>
      <c r="E504" s="19" t="str">
        <f aca="false">IF(Transações!E504&lt;&gt;"",Transações!E504,"")</f>
        <v/>
      </c>
      <c r="F504" s="12" t="str">
        <f aca="false">IF(C504="Compra",D504*E504,IF(C504="Staking",D504*E504,""))</f>
        <v/>
      </c>
      <c r="G504" s="12" t="str">
        <f aca="false">IF(C504="Venda",IF(COUNTIF(A$3:A503,A504)&gt;0,(E504-SUMPRODUCT((A$3:A503=A504)*(C$3:C503="Compra")*F$3:F503)/IF(SUMPRODUCT((A$3:A503=A504)*(C$3:C503="Compra")*D$3:D503)=0,1,SUMPRODUCT((A$3:A503=A504)*(C$3:C503="Compra")*D$3:D503)))*D504,0),"")</f>
        <v/>
      </c>
      <c r="H504" s="12" t="str">
        <f aca="false">IF(C504="Venda",E504*D504,"")</f>
        <v/>
      </c>
    </row>
    <row r="505" customFormat="false" ht="15" hidden="false" customHeight="false" outlineLevel="0" collapsed="false">
      <c r="A505" s="14" t="str">
        <f aca="false">IF(Transações!C505&lt;&gt;"",Transações!C505,"")</f>
        <v/>
      </c>
      <c r="B505" s="14" t="str">
        <f aca="false">IF(Transações!A505&lt;&gt;"",Transações!A505,"")</f>
        <v/>
      </c>
      <c r="C505" s="14" t="str">
        <f aca="false">IF(Transações!B505&lt;&gt;"",Transações!B505,"")</f>
        <v/>
      </c>
      <c r="D505" s="15" t="str">
        <f aca="false">IF(Transações!D505&lt;&gt;"",Transações!D505,"")</f>
        <v/>
      </c>
      <c r="E505" s="16" t="str">
        <f aca="false">IF(Transações!E505&lt;&gt;"",Transações!E505,"")</f>
        <v/>
      </c>
      <c r="F505" s="7" t="str">
        <f aca="false">IF(C505="Compra",D505*E505,IF(C505="Staking",D505*E505,""))</f>
        <v/>
      </c>
      <c r="G505" s="7" t="str">
        <f aca="false">IF(C505="Venda",IF(COUNTIF(A$3:A504,A505)&gt;0,(E505-SUMPRODUCT((A$3:A504=A505)*(C$3:C504="Compra")*F$3:F504)/IF(SUMPRODUCT((A$3:A504=A505)*(C$3:C504="Compra")*D$3:D504)=0,1,SUMPRODUCT((A$3:A504=A505)*(C$3:C504="Compra")*D$3:D504)))*D505,0),"")</f>
        <v/>
      </c>
      <c r="H505" s="7" t="str">
        <f aca="false">IF(C505="Venda",E505*D505,"")</f>
        <v/>
      </c>
    </row>
    <row r="506" customFormat="false" ht="15" hidden="false" customHeight="false" outlineLevel="0" collapsed="false">
      <c r="A506" s="17" t="str">
        <f aca="false">IF(Transações!C506&lt;&gt;"",Transações!C506,"")</f>
        <v/>
      </c>
      <c r="B506" s="17" t="str">
        <f aca="false">IF(Transações!A506&lt;&gt;"",Transações!A506,"")</f>
        <v/>
      </c>
      <c r="C506" s="17" t="str">
        <f aca="false">IF(Transações!B506&lt;&gt;"",Transações!B506,"")</f>
        <v/>
      </c>
      <c r="D506" s="18" t="str">
        <f aca="false">IF(Transações!D506&lt;&gt;"",Transações!D506,"")</f>
        <v/>
      </c>
      <c r="E506" s="19" t="str">
        <f aca="false">IF(Transações!E506&lt;&gt;"",Transações!E506,"")</f>
        <v/>
      </c>
      <c r="F506" s="12" t="str">
        <f aca="false">IF(C506="Compra",D506*E506,IF(C506="Staking",D506*E506,""))</f>
        <v/>
      </c>
      <c r="G506" s="12" t="str">
        <f aca="false">IF(C506="Venda",IF(COUNTIF(A$3:A505,A506)&gt;0,(E506-SUMPRODUCT((A$3:A505=A506)*(C$3:C505="Compra")*F$3:F505)/IF(SUMPRODUCT((A$3:A505=A506)*(C$3:C505="Compra")*D$3:D505)=0,1,SUMPRODUCT((A$3:A505=A506)*(C$3:C505="Compra")*D$3:D505)))*D506,0),"")</f>
        <v/>
      </c>
      <c r="H506" s="12" t="str">
        <f aca="false">IF(C506="Venda",E506*D506,"")</f>
        <v/>
      </c>
    </row>
    <row r="507" customFormat="false" ht="15" hidden="false" customHeight="false" outlineLevel="0" collapsed="false">
      <c r="A507" s="14" t="str">
        <f aca="false">IF(Transações!C507&lt;&gt;"",Transações!C507,"")</f>
        <v/>
      </c>
      <c r="B507" s="14" t="str">
        <f aca="false">IF(Transações!A507&lt;&gt;"",Transações!A507,"")</f>
        <v/>
      </c>
      <c r="C507" s="14" t="str">
        <f aca="false">IF(Transações!B507&lt;&gt;"",Transações!B507,"")</f>
        <v/>
      </c>
      <c r="D507" s="15" t="str">
        <f aca="false">IF(Transações!D507&lt;&gt;"",Transações!D507,"")</f>
        <v/>
      </c>
      <c r="E507" s="16" t="str">
        <f aca="false">IF(Transações!E507&lt;&gt;"",Transações!E507,"")</f>
        <v/>
      </c>
      <c r="F507" s="7" t="str">
        <f aca="false">IF(C507="Compra",D507*E507,IF(C507="Staking",D507*E507,""))</f>
        <v/>
      </c>
      <c r="G507" s="7" t="str">
        <f aca="false">IF(C507="Venda",IF(COUNTIF(A$3:A506,A507)&gt;0,(E507-SUMPRODUCT((A$3:A506=A507)*(C$3:C506="Compra")*F$3:F506)/IF(SUMPRODUCT((A$3:A506=A507)*(C$3:C506="Compra")*D$3:D506)=0,1,SUMPRODUCT((A$3:A506=A507)*(C$3:C506="Compra")*D$3:D506)))*D507,0),"")</f>
        <v/>
      </c>
      <c r="H507" s="7" t="str">
        <f aca="false">IF(C507="Venda",E507*D507,"")</f>
        <v/>
      </c>
    </row>
    <row r="508" customFormat="false" ht="15" hidden="false" customHeight="false" outlineLevel="0" collapsed="false">
      <c r="A508" s="17" t="str">
        <f aca="false">IF(Transações!C508&lt;&gt;"",Transações!C508,"")</f>
        <v/>
      </c>
      <c r="B508" s="17" t="str">
        <f aca="false">IF(Transações!A508&lt;&gt;"",Transações!A508,"")</f>
        <v/>
      </c>
      <c r="C508" s="17" t="str">
        <f aca="false">IF(Transações!B508&lt;&gt;"",Transações!B508,"")</f>
        <v/>
      </c>
      <c r="D508" s="18" t="str">
        <f aca="false">IF(Transações!D508&lt;&gt;"",Transações!D508,"")</f>
        <v/>
      </c>
      <c r="E508" s="19" t="str">
        <f aca="false">IF(Transações!E508&lt;&gt;"",Transações!E508,"")</f>
        <v/>
      </c>
      <c r="F508" s="12" t="str">
        <f aca="false">IF(C508="Compra",D508*E508,IF(C508="Staking",D508*E508,""))</f>
        <v/>
      </c>
      <c r="G508" s="12" t="str">
        <f aca="false">IF(C508="Venda",IF(COUNTIF(A$3:A507,A508)&gt;0,(E508-SUMPRODUCT((A$3:A507=A508)*(C$3:C507="Compra")*F$3:F507)/IF(SUMPRODUCT((A$3:A507=A508)*(C$3:C507="Compra")*D$3:D507)=0,1,SUMPRODUCT((A$3:A507=A508)*(C$3:C507="Compra")*D$3:D507)))*D508,0),"")</f>
        <v/>
      </c>
      <c r="H508" s="12" t="str">
        <f aca="false">IF(C508="Venda",E508*D508,"")</f>
        <v/>
      </c>
    </row>
    <row r="509" customFormat="false" ht="15" hidden="false" customHeight="false" outlineLevel="0" collapsed="false">
      <c r="A509" s="14" t="str">
        <f aca="false">IF(Transações!C509&lt;&gt;"",Transações!C509,"")</f>
        <v/>
      </c>
      <c r="B509" s="14" t="str">
        <f aca="false">IF(Transações!A509&lt;&gt;"",Transações!A509,"")</f>
        <v/>
      </c>
      <c r="C509" s="14" t="str">
        <f aca="false">IF(Transações!B509&lt;&gt;"",Transações!B509,"")</f>
        <v/>
      </c>
      <c r="D509" s="15" t="str">
        <f aca="false">IF(Transações!D509&lt;&gt;"",Transações!D509,"")</f>
        <v/>
      </c>
      <c r="E509" s="16" t="str">
        <f aca="false">IF(Transações!E509&lt;&gt;"",Transações!E509,"")</f>
        <v/>
      </c>
      <c r="F509" s="7" t="str">
        <f aca="false">IF(C509="Compra",D509*E509,IF(C509="Staking",D509*E509,""))</f>
        <v/>
      </c>
      <c r="G509" s="7" t="str">
        <f aca="false">IF(C509="Venda",IF(COUNTIF(A$3:A508,A509)&gt;0,(E509-SUMPRODUCT((A$3:A508=A509)*(C$3:C508="Compra")*F$3:F508)/IF(SUMPRODUCT((A$3:A508=A509)*(C$3:C508="Compra")*D$3:D508)=0,1,SUMPRODUCT((A$3:A508=A509)*(C$3:C508="Compra")*D$3:D508)))*D509,0),"")</f>
        <v/>
      </c>
      <c r="H509" s="7" t="str">
        <f aca="false">IF(C509="Venda",E509*D509,"")</f>
        <v/>
      </c>
    </row>
    <row r="510" customFormat="false" ht="15" hidden="false" customHeight="false" outlineLevel="0" collapsed="false">
      <c r="A510" s="17" t="str">
        <f aca="false">IF(Transações!C510&lt;&gt;"",Transações!C510,"")</f>
        <v/>
      </c>
      <c r="B510" s="17" t="str">
        <f aca="false">IF(Transações!A510&lt;&gt;"",Transações!A510,"")</f>
        <v/>
      </c>
      <c r="C510" s="17" t="str">
        <f aca="false">IF(Transações!B510&lt;&gt;"",Transações!B510,"")</f>
        <v/>
      </c>
      <c r="D510" s="18" t="str">
        <f aca="false">IF(Transações!D510&lt;&gt;"",Transações!D510,"")</f>
        <v/>
      </c>
      <c r="E510" s="19" t="str">
        <f aca="false">IF(Transações!E510&lt;&gt;"",Transações!E510,"")</f>
        <v/>
      </c>
      <c r="F510" s="12" t="str">
        <f aca="false">IF(C510="Compra",D510*E510,IF(C510="Staking",D510*E510,""))</f>
        <v/>
      </c>
      <c r="G510" s="12" t="str">
        <f aca="false">IF(C510="Venda",IF(COUNTIF(A$3:A509,A510)&gt;0,(E510-SUMPRODUCT((A$3:A509=A510)*(C$3:C509="Compra")*F$3:F509)/IF(SUMPRODUCT((A$3:A509=A510)*(C$3:C509="Compra")*D$3:D509)=0,1,SUMPRODUCT((A$3:A509=A510)*(C$3:C509="Compra")*D$3:D509)))*D510,0),"")</f>
        <v/>
      </c>
      <c r="H510" s="12" t="str">
        <f aca="false">IF(C510="Venda",E510*D510,"")</f>
        <v/>
      </c>
    </row>
    <row r="511" customFormat="false" ht="15" hidden="false" customHeight="false" outlineLevel="0" collapsed="false">
      <c r="A511" s="14" t="str">
        <f aca="false">IF(Transações!C511&lt;&gt;"",Transações!C511,"")</f>
        <v/>
      </c>
      <c r="B511" s="14" t="str">
        <f aca="false">IF(Transações!A511&lt;&gt;"",Transações!A511,"")</f>
        <v/>
      </c>
      <c r="C511" s="14" t="str">
        <f aca="false">IF(Transações!B511&lt;&gt;"",Transações!B511,"")</f>
        <v/>
      </c>
      <c r="D511" s="15" t="str">
        <f aca="false">IF(Transações!D511&lt;&gt;"",Transações!D511,"")</f>
        <v/>
      </c>
      <c r="E511" s="16" t="str">
        <f aca="false">IF(Transações!E511&lt;&gt;"",Transações!E511,"")</f>
        <v/>
      </c>
      <c r="F511" s="7" t="str">
        <f aca="false">IF(C511="Compra",D511*E511,IF(C511="Staking",D511*E511,""))</f>
        <v/>
      </c>
      <c r="G511" s="7" t="str">
        <f aca="false">IF(C511="Venda",IF(COUNTIF(A$3:A510,A511)&gt;0,(E511-SUMPRODUCT((A$3:A510=A511)*(C$3:C510="Compra")*F$3:F510)/IF(SUMPRODUCT((A$3:A510=A511)*(C$3:C510="Compra")*D$3:D510)=0,1,SUMPRODUCT((A$3:A510=A511)*(C$3:C510="Compra")*D$3:D510)))*D511,0),"")</f>
        <v/>
      </c>
      <c r="H511" s="7" t="str">
        <f aca="false">IF(C511="Venda",E511*D511,"")</f>
        <v/>
      </c>
    </row>
    <row r="512" customFormat="false" ht="15" hidden="false" customHeight="false" outlineLevel="0" collapsed="false">
      <c r="A512" s="17" t="str">
        <f aca="false">IF(Transações!C512&lt;&gt;"",Transações!C512,"")</f>
        <v/>
      </c>
      <c r="B512" s="17" t="str">
        <f aca="false">IF(Transações!A512&lt;&gt;"",Transações!A512,"")</f>
        <v/>
      </c>
      <c r="C512" s="17" t="str">
        <f aca="false">IF(Transações!B512&lt;&gt;"",Transações!B512,"")</f>
        <v/>
      </c>
      <c r="D512" s="18" t="str">
        <f aca="false">IF(Transações!D512&lt;&gt;"",Transações!D512,"")</f>
        <v/>
      </c>
      <c r="E512" s="19" t="str">
        <f aca="false">IF(Transações!E512&lt;&gt;"",Transações!E512,"")</f>
        <v/>
      </c>
      <c r="F512" s="12" t="str">
        <f aca="false">IF(C512="Compra",D512*E512,IF(C512="Staking",D512*E512,""))</f>
        <v/>
      </c>
      <c r="G512" s="12" t="str">
        <f aca="false">IF(C512="Venda",IF(COUNTIF(A$3:A511,A512)&gt;0,(E512-SUMPRODUCT((A$3:A511=A512)*(C$3:C511="Compra")*F$3:F511)/IF(SUMPRODUCT((A$3:A511=A512)*(C$3:C511="Compra")*D$3:D511)=0,1,SUMPRODUCT((A$3:A511=A512)*(C$3:C511="Compra")*D$3:D511)))*D512,0),"")</f>
        <v/>
      </c>
      <c r="H512" s="12" t="str">
        <f aca="false">IF(C512="Venda",E512*D512,"")</f>
        <v/>
      </c>
    </row>
    <row r="513" customFormat="false" ht="15" hidden="false" customHeight="false" outlineLevel="0" collapsed="false">
      <c r="A513" s="14" t="str">
        <f aca="false">IF(Transações!C513&lt;&gt;"",Transações!C513,"")</f>
        <v/>
      </c>
      <c r="B513" s="14" t="str">
        <f aca="false">IF(Transações!A513&lt;&gt;"",Transações!A513,"")</f>
        <v/>
      </c>
      <c r="C513" s="14" t="str">
        <f aca="false">IF(Transações!B513&lt;&gt;"",Transações!B513,"")</f>
        <v/>
      </c>
      <c r="D513" s="15" t="str">
        <f aca="false">IF(Transações!D513&lt;&gt;"",Transações!D513,"")</f>
        <v/>
      </c>
      <c r="E513" s="16" t="str">
        <f aca="false">IF(Transações!E513&lt;&gt;"",Transações!E513,"")</f>
        <v/>
      </c>
      <c r="F513" s="7" t="str">
        <f aca="false">IF(C513="Compra",D513*E513,IF(C513="Staking",D513*E513,""))</f>
        <v/>
      </c>
      <c r="G513" s="7" t="str">
        <f aca="false">IF(C513="Venda",IF(COUNTIF(A$3:A512,A513)&gt;0,(E513-SUMPRODUCT((A$3:A512=A513)*(C$3:C512="Compra")*F$3:F512)/IF(SUMPRODUCT((A$3:A512=A513)*(C$3:C512="Compra")*D$3:D512)=0,1,SUMPRODUCT((A$3:A512=A513)*(C$3:C512="Compra")*D$3:D512)))*D513,0),"")</f>
        <v/>
      </c>
      <c r="H513" s="7" t="str">
        <f aca="false">IF(C513="Venda",E513*D513,"")</f>
        <v/>
      </c>
    </row>
    <row r="514" customFormat="false" ht="15" hidden="false" customHeight="false" outlineLevel="0" collapsed="false">
      <c r="A514" s="17" t="str">
        <f aca="false">IF(Transações!C514&lt;&gt;"",Transações!C514,"")</f>
        <v/>
      </c>
      <c r="B514" s="17" t="str">
        <f aca="false">IF(Transações!A514&lt;&gt;"",Transações!A514,"")</f>
        <v/>
      </c>
      <c r="C514" s="17" t="str">
        <f aca="false">IF(Transações!B514&lt;&gt;"",Transações!B514,"")</f>
        <v/>
      </c>
      <c r="D514" s="18" t="str">
        <f aca="false">IF(Transações!D514&lt;&gt;"",Transações!D514,"")</f>
        <v/>
      </c>
      <c r="E514" s="19" t="str">
        <f aca="false">IF(Transações!E514&lt;&gt;"",Transações!E514,"")</f>
        <v/>
      </c>
      <c r="F514" s="12" t="str">
        <f aca="false">IF(C514="Compra",D514*E514,IF(C514="Staking",D514*E514,""))</f>
        <v/>
      </c>
      <c r="G514" s="12" t="str">
        <f aca="false">IF(C514="Venda",IF(COUNTIF(A$3:A513,A514)&gt;0,(E514-SUMPRODUCT((A$3:A513=A514)*(C$3:C513="Compra")*F$3:F513)/IF(SUMPRODUCT((A$3:A513=A514)*(C$3:C513="Compra")*D$3:D513)=0,1,SUMPRODUCT((A$3:A513=A514)*(C$3:C513="Compra")*D$3:D513)))*D514,0),"")</f>
        <v/>
      </c>
      <c r="H514" s="12" t="str">
        <f aca="false">IF(C514="Venda",E514*D514,"")</f>
        <v/>
      </c>
    </row>
    <row r="515" customFormat="false" ht="15" hidden="false" customHeight="false" outlineLevel="0" collapsed="false">
      <c r="A515" s="14" t="str">
        <f aca="false">IF(Transações!C515&lt;&gt;"",Transações!C515,"")</f>
        <v/>
      </c>
      <c r="B515" s="14" t="str">
        <f aca="false">IF(Transações!A515&lt;&gt;"",Transações!A515,"")</f>
        <v/>
      </c>
      <c r="C515" s="14" t="str">
        <f aca="false">IF(Transações!B515&lt;&gt;"",Transações!B515,"")</f>
        <v/>
      </c>
      <c r="D515" s="15" t="str">
        <f aca="false">IF(Transações!D515&lt;&gt;"",Transações!D515,"")</f>
        <v/>
      </c>
      <c r="E515" s="16" t="str">
        <f aca="false">IF(Transações!E515&lt;&gt;"",Transações!E515,"")</f>
        <v/>
      </c>
      <c r="F515" s="7" t="str">
        <f aca="false">IF(C515="Compra",D515*E515,IF(C515="Staking",D515*E515,""))</f>
        <v/>
      </c>
      <c r="G515" s="7" t="str">
        <f aca="false">IF(C515="Venda",IF(COUNTIF(A$3:A514,A515)&gt;0,(E515-SUMPRODUCT((A$3:A514=A515)*(C$3:C514="Compra")*F$3:F514)/IF(SUMPRODUCT((A$3:A514=A515)*(C$3:C514="Compra")*D$3:D514)=0,1,SUMPRODUCT((A$3:A514=A515)*(C$3:C514="Compra")*D$3:D514)))*D515,0),"")</f>
        <v/>
      </c>
      <c r="H515" s="7" t="str">
        <f aca="false">IF(C515="Venda",E515*D515,"")</f>
        <v/>
      </c>
    </row>
    <row r="516" customFormat="false" ht="15" hidden="false" customHeight="false" outlineLevel="0" collapsed="false">
      <c r="A516" s="17" t="str">
        <f aca="false">IF(Transações!C516&lt;&gt;"",Transações!C516,"")</f>
        <v/>
      </c>
      <c r="B516" s="17" t="str">
        <f aca="false">IF(Transações!A516&lt;&gt;"",Transações!A516,"")</f>
        <v/>
      </c>
      <c r="C516" s="17" t="str">
        <f aca="false">IF(Transações!B516&lt;&gt;"",Transações!B516,"")</f>
        <v/>
      </c>
      <c r="D516" s="18" t="str">
        <f aca="false">IF(Transações!D516&lt;&gt;"",Transações!D516,"")</f>
        <v/>
      </c>
      <c r="E516" s="19" t="str">
        <f aca="false">IF(Transações!E516&lt;&gt;"",Transações!E516,"")</f>
        <v/>
      </c>
      <c r="F516" s="12" t="str">
        <f aca="false">IF(C516="Compra",D516*E516,IF(C516="Staking",D516*E516,""))</f>
        <v/>
      </c>
      <c r="G516" s="12" t="str">
        <f aca="false">IF(C516="Venda",IF(COUNTIF(A$3:A515,A516)&gt;0,(E516-SUMPRODUCT((A$3:A515=A516)*(C$3:C515="Compra")*F$3:F515)/IF(SUMPRODUCT((A$3:A515=A516)*(C$3:C515="Compra")*D$3:D515)=0,1,SUMPRODUCT((A$3:A515=A516)*(C$3:C515="Compra")*D$3:D515)))*D516,0),"")</f>
        <v/>
      </c>
      <c r="H516" s="12" t="str">
        <f aca="false">IF(C516="Venda",E516*D516,"")</f>
        <v/>
      </c>
    </row>
    <row r="517" customFormat="false" ht="15" hidden="false" customHeight="false" outlineLevel="0" collapsed="false">
      <c r="A517" s="14" t="str">
        <f aca="false">IF(Transações!C517&lt;&gt;"",Transações!C517,"")</f>
        <v/>
      </c>
      <c r="B517" s="14" t="str">
        <f aca="false">IF(Transações!A517&lt;&gt;"",Transações!A517,"")</f>
        <v/>
      </c>
      <c r="C517" s="14" t="str">
        <f aca="false">IF(Transações!B517&lt;&gt;"",Transações!B517,"")</f>
        <v/>
      </c>
      <c r="D517" s="15" t="str">
        <f aca="false">IF(Transações!D517&lt;&gt;"",Transações!D517,"")</f>
        <v/>
      </c>
      <c r="E517" s="16" t="str">
        <f aca="false">IF(Transações!E517&lt;&gt;"",Transações!E517,"")</f>
        <v/>
      </c>
      <c r="F517" s="7" t="str">
        <f aca="false">IF(C517="Compra",D517*E517,IF(C517="Staking",D517*E517,""))</f>
        <v/>
      </c>
      <c r="G517" s="7" t="str">
        <f aca="false">IF(C517="Venda",IF(COUNTIF(A$3:A516,A517)&gt;0,(E517-SUMPRODUCT((A$3:A516=A517)*(C$3:C516="Compra")*F$3:F516)/IF(SUMPRODUCT((A$3:A516=A517)*(C$3:C516="Compra")*D$3:D516)=0,1,SUMPRODUCT((A$3:A516=A517)*(C$3:C516="Compra")*D$3:D516)))*D517,0),"")</f>
        <v/>
      </c>
      <c r="H517" s="7" t="str">
        <f aca="false">IF(C517="Venda",E517*D517,"")</f>
        <v/>
      </c>
    </row>
    <row r="518" customFormat="false" ht="15" hidden="false" customHeight="false" outlineLevel="0" collapsed="false">
      <c r="A518" s="17" t="str">
        <f aca="false">IF(Transações!C518&lt;&gt;"",Transações!C518,"")</f>
        <v/>
      </c>
      <c r="B518" s="17" t="str">
        <f aca="false">IF(Transações!A518&lt;&gt;"",Transações!A518,"")</f>
        <v/>
      </c>
      <c r="C518" s="17" t="str">
        <f aca="false">IF(Transações!B518&lt;&gt;"",Transações!B518,"")</f>
        <v/>
      </c>
      <c r="D518" s="18" t="str">
        <f aca="false">IF(Transações!D518&lt;&gt;"",Transações!D518,"")</f>
        <v/>
      </c>
      <c r="E518" s="19" t="str">
        <f aca="false">IF(Transações!E518&lt;&gt;"",Transações!E518,"")</f>
        <v/>
      </c>
      <c r="F518" s="12" t="str">
        <f aca="false">IF(C518="Compra",D518*E518,IF(C518="Staking",D518*E518,""))</f>
        <v/>
      </c>
      <c r="G518" s="12" t="str">
        <f aca="false">IF(C518="Venda",IF(COUNTIF(A$3:A517,A518)&gt;0,(E518-SUMPRODUCT((A$3:A517=A518)*(C$3:C517="Compra")*F$3:F517)/IF(SUMPRODUCT((A$3:A517=A518)*(C$3:C517="Compra")*D$3:D517)=0,1,SUMPRODUCT((A$3:A517=A518)*(C$3:C517="Compra")*D$3:D517)))*D518,0),"")</f>
        <v/>
      </c>
      <c r="H518" s="12" t="str">
        <f aca="false">IF(C518="Venda",E518*D518,"")</f>
        <v/>
      </c>
    </row>
    <row r="519" customFormat="false" ht="15" hidden="false" customHeight="false" outlineLevel="0" collapsed="false">
      <c r="A519" s="14" t="str">
        <f aca="false">IF(Transações!C519&lt;&gt;"",Transações!C519,"")</f>
        <v/>
      </c>
      <c r="B519" s="14" t="str">
        <f aca="false">IF(Transações!A519&lt;&gt;"",Transações!A519,"")</f>
        <v/>
      </c>
      <c r="C519" s="14" t="str">
        <f aca="false">IF(Transações!B519&lt;&gt;"",Transações!B519,"")</f>
        <v/>
      </c>
      <c r="D519" s="15" t="str">
        <f aca="false">IF(Transações!D519&lt;&gt;"",Transações!D519,"")</f>
        <v/>
      </c>
      <c r="E519" s="16" t="str">
        <f aca="false">IF(Transações!E519&lt;&gt;"",Transações!E519,"")</f>
        <v/>
      </c>
      <c r="F519" s="7" t="str">
        <f aca="false">IF(C519="Compra",D519*E519,IF(C519="Staking",D519*E519,""))</f>
        <v/>
      </c>
      <c r="G519" s="7" t="str">
        <f aca="false">IF(C519="Venda",IF(COUNTIF(A$3:A518,A519)&gt;0,(E519-SUMPRODUCT((A$3:A518=A519)*(C$3:C518="Compra")*F$3:F518)/IF(SUMPRODUCT((A$3:A518=A519)*(C$3:C518="Compra")*D$3:D518)=0,1,SUMPRODUCT((A$3:A518=A519)*(C$3:C518="Compra")*D$3:D518)))*D519,0),"")</f>
        <v/>
      </c>
      <c r="H519" s="7" t="str">
        <f aca="false">IF(C519="Venda",E519*D519,"")</f>
        <v/>
      </c>
    </row>
    <row r="520" customFormat="false" ht="15" hidden="false" customHeight="false" outlineLevel="0" collapsed="false">
      <c r="A520" s="17" t="str">
        <f aca="false">IF(Transações!C520&lt;&gt;"",Transações!C520,"")</f>
        <v/>
      </c>
      <c r="B520" s="17" t="str">
        <f aca="false">IF(Transações!A520&lt;&gt;"",Transações!A520,"")</f>
        <v/>
      </c>
      <c r="C520" s="17" t="str">
        <f aca="false">IF(Transações!B520&lt;&gt;"",Transações!B520,"")</f>
        <v/>
      </c>
      <c r="D520" s="18" t="str">
        <f aca="false">IF(Transações!D520&lt;&gt;"",Transações!D520,"")</f>
        <v/>
      </c>
      <c r="E520" s="19" t="str">
        <f aca="false">IF(Transações!E520&lt;&gt;"",Transações!E520,"")</f>
        <v/>
      </c>
      <c r="F520" s="12" t="str">
        <f aca="false">IF(C520="Compra",D520*E520,IF(C520="Staking",D520*E520,""))</f>
        <v/>
      </c>
      <c r="G520" s="12" t="str">
        <f aca="false">IF(C520="Venda",IF(COUNTIF(A$3:A519,A520)&gt;0,(E520-SUMPRODUCT((A$3:A519=A520)*(C$3:C519="Compra")*F$3:F519)/IF(SUMPRODUCT((A$3:A519=A520)*(C$3:C519="Compra")*D$3:D519)=0,1,SUMPRODUCT((A$3:A519=A520)*(C$3:C519="Compra")*D$3:D519)))*D520,0),"")</f>
        <v/>
      </c>
      <c r="H520" s="12" t="str">
        <f aca="false">IF(C520="Venda",E520*D520,"")</f>
        <v/>
      </c>
    </row>
    <row r="521" customFormat="false" ht="15" hidden="false" customHeight="false" outlineLevel="0" collapsed="false">
      <c r="A521" s="14" t="str">
        <f aca="false">IF(Transações!C521&lt;&gt;"",Transações!C521,"")</f>
        <v/>
      </c>
      <c r="B521" s="14" t="str">
        <f aca="false">IF(Transações!A521&lt;&gt;"",Transações!A521,"")</f>
        <v/>
      </c>
      <c r="C521" s="14" t="str">
        <f aca="false">IF(Transações!B521&lt;&gt;"",Transações!B521,"")</f>
        <v/>
      </c>
      <c r="D521" s="15" t="str">
        <f aca="false">IF(Transações!D521&lt;&gt;"",Transações!D521,"")</f>
        <v/>
      </c>
      <c r="E521" s="16" t="str">
        <f aca="false">IF(Transações!E521&lt;&gt;"",Transações!E521,"")</f>
        <v/>
      </c>
      <c r="F521" s="7" t="str">
        <f aca="false">IF(C521="Compra",D521*E521,IF(C521="Staking",D521*E521,""))</f>
        <v/>
      </c>
      <c r="G521" s="7" t="str">
        <f aca="false">IF(C521="Venda",IF(COUNTIF(A$3:A520,A521)&gt;0,(E521-SUMPRODUCT((A$3:A520=A521)*(C$3:C520="Compra")*F$3:F520)/IF(SUMPRODUCT((A$3:A520=A521)*(C$3:C520="Compra")*D$3:D520)=0,1,SUMPRODUCT((A$3:A520=A521)*(C$3:C520="Compra")*D$3:D520)))*D521,0),"")</f>
        <v/>
      </c>
      <c r="H521" s="7" t="str">
        <f aca="false">IF(C521="Venda",E521*D521,"")</f>
        <v/>
      </c>
    </row>
    <row r="522" customFormat="false" ht="15" hidden="false" customHeight="false" outlineLevel="0" collapsed="false">
      <c r="A522" s="17" t="str">
        <f aca="false">IF(Transações!C522&lt;&gt;"",Transações!C522,"")</f>
        <v/>
      </c>
      <c r="B522" s="17" t="str">
        <f aca="false">IF(Transações!A522&lt;&gt;"",Transações!A522,"")</f>
        <v/>
      </c>
      <c r="C522" s="17" t="str">
        <f aca="false">IF(Transações!B522&lt;&gt;"",Transações!B522,"")</f>
        <v/>
      </c>
      <c r="D522" s="18" t="str">
        <f aca="false">IF(Transações!D522&lt;&gt;"",Transações!D522,"")</f>
        <v/>
      </c>
      <c r="E522" s="19" t="str">
        <f aca="false">IF(Transações!E522&lt;&gt;"",Transações!E522,"")</f>
        <v/>
      </c>
      <c r="F522" s="12" t="str">
        <f aca="false">IF(C522="Compra",D522*E522,IF(C522="Staking",D522*E522,""))</f>
        <v/>
      </c>
      <c r="G522" s="12" t="str">
        <f aca="false">IF(C522="Venda",IF(COUNTIF(A$3:A521,A522)&gt;0,(E522-SUMPRODUCT((A$3:A521=A522)*(C$3:C521="Compra")*F$3:F521)/IF(SUMPRODUCT((A$3:A521=A522)*(C$3:C521="Compra")*D$3:D521)=0,1,SUMPRODUCT((A$3:A521=A522)*(C$3:C521="Compra")*D$3:D521)))*D522,0),"")</f>
        <v/>
      </c>
      <c r="H522" s="12" t="str">
        <f aca="false">IF(C522="Venda",E522*D522,"")</f>
        <v/>
      </c>
    </row>
    <row r="523" customFormat="false" ht="15" hidden="false" customHeight="false" outlineLevel="0" collapsed="false">
      <c r="A523" s="14" t="str">
        <f aca="false">IF(Transações!C523&lt;&gt;"",Transações!C523,"")</f>
        <v/>
      </c>
      <c r="B523" s="14" t="str">
        <f aca="false">IF(Transações!A523&lt;&gt;"",Transações!A523,"")</f>
        <v/>
      </c>
      <c r="C523" s="14" t="str">
        <f aca="false">IF(Transações!B523&lt;&gt;"",Transações!B523,"")</f>
        <v/>
      </c>
      <c r="D523" s="15" t="str">
        <f aca="false">IF(Transações!D523&lt;&gt;"",Transações!D523,"")</f>
        <v/>
      </c>
      <c r="E523" s="16" t="str">
        <f aca="false">IF(Transações!E523&lt;&gt;"",Transações!E523,"")</f>
        <v/>
      </c>
      <c r="F523" s="7" t="str">
        <f aca="false">IF(C523="Compra",D523*E523,IF(C523="Staking",D523*E523,""))</f>
        <v/>
      </c>
      <c r="G523" s="7" t="str">
        <f aca="false">IF(C523="Venda",IF(COUNTIF(A$3:A522,A523)&gt;0,(E523-SUMPRODUCT((A$3:A522=A523)*(C$3:C522="Compra")*F$3:F522)/IF(SUMPRODUCT((A$3:A522=A523)*(C$3:C522="Compra")*D$3:D522)=0,1,SUMPRODUCT((A$3:A522=A523)*(C$3:C522="Compra")*D$3:D522)))*D523,0),"")</f>
        <v/>
      </c>
      <c r="H523" s="7" t="str">
        <f aca="false">IF(C523="Venda",E523*D523,"")</f>
        <v/>
      </c>
    </row>
    <row r="524" customFormat="false" ht="15" hidden="false" customHeight="false" outlineLevel="0" collapsed="false">
      <c r="A524" s="17" t="str">
        <f aca="false">IF(Transações!C524&lt;&gt;"",Transações!C524,"")</f>
        <v/>
      </c>
      <c r="B524" s="17" t="str">
        <f aca="false">IF(Transações!A524&lt;&gt;"",Transações!A524,"")</f>
        <v/>
      </c>
      <c r="C524" s="17" t="str">
        <f aca="false">IF(Transações!B524&lt;&gt;"",Transações!B524,"")</f>
        <v/>
      </c>
      <c r="D524" s="18" t="str">
        <f aca="false">IF(Transações!D524&lt;&gt;"",Transações!D524,"")</f>
        <v/>
      </c>
      <c r="E524" s="19" t="str">
        <f aca="false">IF(Transações!E524&lt;&gt;"",Transações!E524,"")</f>
        <v/>
      </c>
      <c r="F524" s="12" t="str">
        <f aca="false">IF(C524="Compra",D524*E524,IF(C524="Staking",D524*E524,""))</f>
        <v/>
      </c>
      <c r="G524" s="12" t="str">
        <f aca="false">IF(C524="Venda",IF(COUNTIF(A$3:A523,A524)&gt;0,(E524-SUMPRODUCT((A$3:A523=A524)*(C$3:C523="Compra")*F$3:F523)/IF(SUMPRODUCT((A$3:A523=A524)*(C$3:C523="Compra")*D$3:D523)=0,1,SUMPRODUCT((A$3:A523=A524)*(C$3:C523="Compra")*D$3:D523)))*D524,0),"")</f>
        <v/>
      </c>
      <c r="H524" s="12" t="str">
        <f aca="false">IF(C524="Venda",E524*D524,"")</f>
        <v/>
      </c>
    </row>
    <row r="525" customFormat="false" ht="15" hidden="false" customHeight="false" outlineLevel="0" collapsed="false">
      <c r="A525" s="14" t="str">
        <f aca="false">IF(Transações!C525&lt;&gt;"",Transações!C525,"")</f>
        <v/>
      </c>
      <c r="B525" s="14" t="str">
        <f aca="false">IF(Transações!A525&lt;&gt;"",Transações!A525,"")</f>
        <v/>
      </c>
      <c r="C525" s="14" t="str">
        <f aca="false">IF(Transações!B525&lt;&gt;"",Transações!B525,"")</f>
        <v/>
      </c>
      <c r="D525" s="15" t="str">
        <f aca="false">IF(Transações!D525&lt;&gt;"",Transações!D525,"")</f>
        <v/>
      </c>
      <c r="E525" s="16" t="str">
        <f aca="false">IF(Transações!E525&lt;&gt;"",Transações!E525,"")</f>
        <v/>
      </c>
      <c r="F525" s="7" t="str">
        <f aca="false">IF(C525="Compra",D525*E525,IF(C525="Staking",D525*E525,""))</f>
        <v/>
      </c>
      <c r="G525" s="7" t="str">
        <f aca="false">IF(C525="Venda",IF(COUNTIF(A$3:A524,A525)&gt;0,(E525-SUMPRODUCT((A$3:A524=A525)*(C$3:C524="Compra")*F$3:F524)/IF(SUMPRODUCT((A$3:A524=A525)*(C$3:C524="Compra")*D$3:D524)=0,1,SUMPRODUCT((A$3:A524=A525)*(C$3:C524="Compra")*D$3:D524)))*D525,0),"")</f>
        <v/>
      </c>
      <c r="H525" s="7" t="str">
        <f aca="false">IF(C525="Venda",E525*D525,"")</f>
        <v/>
      </c>
    </row>
    <row r="526" customFormat="false" ht="15" hidden="false" customHeight="false" outlineLevel="0" collapsed="false">
      <c r="A526" s="17" t="str">
        <f aca="false">IF(Transações!C526&lt;&gt;"",Transações!C526,"")</f>
        <v/>
      </c>
      <c r="B526" s="17" t="str">
        <f aca="false">IF(Transações!A526&lt;&gt;"",Transações!A526,"")</f>
        <v/>
      </c>
      <c r="C526" s="17" t="str">
        <f aca="false">IF(Transações!B526&lt;&gt;"",Transações!B526,"")</f>
        <v/>
      </c>
      <c r="D526" s="18" t="str">
        <f aca="false">IF(Transações!D526&lt;&gt;"",Transações!D526,"")</f>
        <v/>
      </c>
      <c r="E526" s="19" t="str">
        <f aca="false">IF(Transações!E526&lt;&gt;"",Transações!E526,"")</f>
        <v/>
      </c>
      <c r="F526" s="12" t="str">
        <f aca="false">IF(C526="Compra",D526*E526,IF(C526="Staking",D526*E526,""))</f>
        <v/>
      </c>
      <c r="G526" s="12" t="str">
        <f aca="false">IF(C526="Venda",IF(COUNTIF(A$3:A525,A526)&gt;0,(E526-SUMPRODUCT((A$3:A525=A526)*(C$3:C525="Compra")*F$3:F525)/IF(SUMPRODUCT((A$3:A525=A526)*(C$3:C525="Compra")*D$3:D525)=0,1,SUMPRODUCT((A$3:A525=A526)*(C$3:C525="Compra")*D$3:D525)))*D526,0),"")</f>
        <v/>
      </c>
      <c r="H526" s="12" t="str">
        <f aca="false">IF(C526="Venda",E526*D526,"")</f>
        <v/>
      </c>
    </row>
    <row r="527" customFormat="false" ht="15" hidden="false" customHeight="false" outlineLevel="0" collapsed="false">
      <c r="A527" s="14" t="str">
        <f aca="false">IF(Transações!C527&lt;&gt;"",Transações!C527,"")</f>
        <v/>
      </c>
      <c r="B527" s="14" t="str">
        <f aca="false">IF(Transações!A527&lt;&gt;"",Transações!A527,"")</f>
        <v/>
      </c>
      <c r="C527" s="14" t="str">
        <f aca="false">IF(Transações!B527&lt;&gt;"",Transações!B527,"")</f>
        <v/>
      </c>
      <c r="D527" s="15" t="str">
        <f aca="false">IF(Transações!D527&lt;&gt;"",Transações!D527,"")</f>
        <v/>
      </c>
      <c r="E527" s="16" t="str">
        <f aca="false">IF(Transações!E527&lt;&gt;"",Transações!E527,"")</f>
        <v/>
      </c>
      <c r="F527" s="7" t="str">
        <f aca="false">IF(C527="Compra",D527*E527,IF(C527="Staking",D527*E527,""))</f>
        <v/>
      </c>
      <c r="G527" s="7" t="str">
        <f aca="false">IF(C527="Venda",IF(COUNTIF(A$3:A526,A527)&gt;0,(E527-SUMPRODUCT((A$3:A526=A527)*(C$3:C526="Compra")*F$3:F526)/IF(SUMPRODUCT((A$3:A526=A527)*(C$3:C526="Compra")*D$3:D526)=0,1,SUMPRODUCT((A$3:A526=A527)*(C$3:C526="Compra")*D$3:D526)))*D527,0),"")</f>
        <v/>
      </c>
      <c r="H527" s="7" t="str">
        <f aca="false">IF(C527="Venda",E527*D527,"")</f>
        <v/>
      </c>
    </row>
    <row r="528" customFormat="false" ht="15" hidden="false" customHeight="false" outlineLevel="0" collapsed="false">
      <c r="A528" s="17" t="str">
        <f aca="false">IF(Transações!C528&lt;&gt;"",Transações!C528,"")</f>
        <v/>
      </c>
      <c r="B528" s="17" t="str">
        <f aca="false">IF(Transações!A528&lt;&gt;"",Transações!A528,"")</f>
        <v/>
      </c>
      <c r="C528" s="17" t="str">
        <f aca="false">IF(Transações!B528&lt;&gt;"",Transações!B528,"")</f>
        <v/>
      </c>
      <c r="D528" s="18" t="str">
        <f aca="false">IF(Transações!D528&lt;&gt;"",Transações!D528,"")</f>
        <v/>
      </c>
      <c r="E528" s="19" t="str">
        <f aca="false">IF(Transações!E528&lt;&gt;"",Transações!E528,"")</f>
        <v/>
      </c>
      <c r="F528" s="12" t="str">
        <f aca="false">IF(C528="Compra",D528*E528,IF(C528="Staking",D528*E528,""))</f>
        <v/>
      </c>
      <c r="G528" s="12" t="str">
        <f aca="false">IF(C528="Venda",IF(COUNTIF(A$3:A527,A528)&gt;0,(E528-SUMPRODUCT((A$3:A527=A528)*(C$3:C527="Compra")*F$3:F527)/IF(SUMPRODUCT((A$3:A527=A528)*(C$3:C527="Compra")*D$3:D527)=0,1,SUMPRODUCT((A$3:A527=A528)*(C$3:C527="Compra")*D$3:D527)))*D528,0),"")</f>
        <v/>
      </c>
      <c r="H528" s="12" t="str">
        <f aca="false">IF(C528="Venda",E528*D528,"")</f>
        <v/>
      </c>
    </row>
    <row r="529" customFormat="false" ht="15" hidden="false" customHeight="false" outlineLevel="0" collapsed="false">
      <c r="A529" s="14" t="str">
        <f aca="false">IF(Transações!C529&lt;&gt;"",Transações!C529,"")</f>
        <v/>
      </c>
      <c r="B529" s="14" t="str">
        <f aca="false">IF(Transações!A529&lt;&gt;"",Transações!A529,"")</f>
        <v/>
      </c>
      <c r="C529" s="14" t="str">
        <f aca="false">IF(Transações!B529&lt;&gt;"",Transações!B529,"")</f>
        <v/>
      </c>
      <c r="D529" s="15" t="str">
        <f aca="false">IF(Transações!D529&lt;&gt;"",Transações!D529,"")</f>
        <v/>
      </c>
      <c r="E529" s="16" t="str">
        <f aca="false">IF(Transações!E529&lt;&gt;"",Transações!E529,"")</f>
        <v/>
      </c>
      <c r="F529" s="7" t="str">
        <f aca="false">IF(C529="Compra",D529*E529,IF(C529="Staking",D529*E529,""))</f>
        <v/>
      </c>
      <c r="G529" s="7" t="str">
        <f aca="false">IF(C529="Venda",IF(COUNTIF(A$3:A528,A529)&gt;0,(E529-SUMPRODUCT((A$3:A528=A529)*(C$3:C528="Compra")*F$3:F528)/IF(SUMPRODUCT((A$3:A528=A529)*(C$3:C528="Compra")*D$3:D528)=0,1,SUMPRODUCT((A$3:A528=A529)*(C$3:C528="Compra")*D$3:D528)))*D529,0),"")</f>
        <v/>
      </c>
      <c r="H529" s="7" t="str">
        <f aca="false">IF(C529="Venda",E529*D529,"")</f>
        <v/>
      </c>
    </row>
    <row r="530" customFormat="false" ht="15" hidden="false" customHeight="false" outlineLevel="0" collapsed="false">
      <c r="A530" s="17" t="str">
        <f aca="false">IF(Transações!C530&lt;&gt;"",Transações!C530,"")</f>
        <v/>
      </c>
      <c r="B530" s="17" t="str">
        <f aca="false">IF(Transações!A530&lt;&gt;"",Transações!A530,"")</f>
        <v/>
      </c>
      <c r="C530" s="17" t="str">
        <f aca="false">IF(Transações!B530&lt;&gt;"",Transações!B530,"")</f>
        <v/>
      </c>
      <c r="D530" s="18" t="str">
        <f aca="false">IF(Transações!D530&lt;&gt;"",Transações!D530,"")</f>
        <v/>
      </c>
      <c r="E530" s="19" t="str">
        <f aca="false">IF(Transações!E530&lt;&gt;"",Transações!E530,"")</f>
        <v/>
      </c>
      <c r="F530" s="12" t="str">
        <f aca="false">IF(C530="Compra",D530*E530,IF(C530="Staking",D530*E530,""))</f>
        <v/>
      </c>
      <c r="G530" s="12" t="str">
        <f aca="false">IF(C530="Venda",IF(COUNTIF(A$3:A529,A530)&gt;0,(E530-SUMPRODUCT((A$3:A529=A530)*(C$3:C529="Compra")*F$3:F529)/IF(SUMPRODUCT((A$3:A529=A530)*(C$3:C529="Compra")*D$3:D529)=0,1,SUMPRODUCT((A$3:A529=A530)*(C$3:C529="Compra")*D$3:D529)))*D530,0),"")</f>
        <v/>
      </c>
      <c r="H530" s="12" t="str">
        <f aca="false">IF(C530="Venda",E530*D530,"")</f>
        <v/>
      </c>
    </row>
    <row r="531" customFormat="false" ht="15" hidden="false" customHeight="false" outlineLevel="0" collapsed="false">
      <c r="A531" s="14" t="str">
        <f aca="false">IF(Transações!C531&lt;&gt;"",Transações!C531,"")</f>
        <v/>
      </c>
      <c r="B531" s="14" t="str">
        <f aca="false">IF(Transações!A531&lt;&gt;"",Transações!A531,"")</f>
        <v/>
      </c>
      <c r="C531" s="14" t="str">
        <f aca="false">IF(Transações!B531&lt;&gt;"",Transações!B531,"")</f>
        <v/>
      </c>
      <c r="D531" s="15" t="str">
        <f aca="false">IF(Transações!D531&lt;&gt;"",Transações!D531,"")</f>
        <v/>
      </c>
      <c r="E531" s="16" t="str">
        <f aca="false">IF(Transações!E531&lt;&gt;"",Transações!E531,"")</f>
        <v/>
      </c>
      <c r="F531" s="7" t="str">
        <f aca="false">IF(C531="Compra",D531*E531,IF(C531="Staking",D531*E531,""))</f>
        <v/>
      </c>
      <c r="G531" s="7" t="str">
        <f aca="false">IF(C531="Venda",IF(COUNTIF(A$3:A530,A531)&gt;0,(E531-SUMPRODUCT((A$3:A530=A531)*(C$3:C530="Compra")*F$3:F530)/IF(SUMPRODUCT((A$3:A530=A531)*(C$3:C530="Compra")*D$3:D530)=0,1,SUMPRODUCT((A$3:A530=A531)*(C$3:C530="Compra")*D$3:D530)))*D531,0),"")</f>
        <v/>
      </c>
      <c r="H531" s="7" t="str">
        <f aca="false">IF(C531="Venda",E531*D531,"")</f>
        <v/>
      </c>
    </row>
    <row r="532" customFormat="false" ht="15" hidden="false" customHeight="false" outlineLevel="0" collapsed="false">
      <c r="A532" s="17" t="str">
        <f aca="false">IF(Transações!C532&lt;&gt;"",Transações!C532,"")</f>
        <v/>
      </c>
      <c r="B532" s="17" t="str">
        <f aca="false">IF(Transações!A532&lt;&gt;"",Transações!A532,"")</f>
        <v/>
      </c>
      <c r="C532" s="17" t="str">
        <f aca="false">IF(Transações!B532&lt;&gt;"",Transações!B532,"")</f>
        <v/>
      </c>
      <c r="D532" s="18" t="str">
        <f aca="false">IF(Transações!D532&lt;&gt;"",Transações!D532,"")</f>
        <v/>
      </c>
      <c r="E532" s="19" t="str">
        <f aca="false">IF(Transações!E532&lt;&gt;"",Transações!E532,"")</f>
        <v/>
      </c>
      <c r="F532" s="12" t="str">
        <f aca="false">IF(C532="Compra",D532*E532,IF(C532="Staking",D532*E532,""))</f>
        <v/>
      </c>
      <c r="G532" s="12" t="str">
        <f aca="false">IF(C532="Venda",IF(COUNTIF(A$3:A531,A532)&gt;0,(E532-SUMPRODUCT((A$3:A531=A532)*(C$3:C531="Compra")*F$3:F531)/IF(SUMPRODUCT((A$3:A531=A532)*(C$3:C531="Compra")*D$3:D531)=0,1,SUMPRODUCT((A$3:A531=A532)*(C$3:C531="Compra")*D$3:D531)))*D532,0),"")</f>
        <v/>
      </c>
      <c r="H532" s="12" t="str">
        <f aca="false">IF(C532="Venda",E532*D532,"")</f>
        <v/>
      </c>
    </row>
    <row r="533" customFormat="false" ht="15" hidden="false" customHeight="false" outlineLevel="0" collapsed="false">
      <c r="A533" s="14" t="str">
        <f aca="false">IF(Transações!C533&lt;&gt;"",Transações!C533,"")</f>
        <v/>
      </c>
      <c r="B533" s="14" t="str">
        <f aca="false">IF(Transações!A533&lt;&gt;"",Transações!A533,"")</f>
        <v/>
      </c>
      <c r="C533" s="14" t="str">
        <f aca="false">IF(Transações!B533&lt;&gt;"",Transações!B533,"")</f>
        <v/>
      </c>
      <c r="D533" s="15" t="str">
        <f aca="false">IF(Transações!D533&lt;&gt;"",Transações!D533,"")</f>
        <v/>
      </c>
      <c r="E533" s="16" t="str">
        <f aca="false">IF(Transações!E533&lt;&gt;"",Transações!E533,"")</f>
        <v/>
      </c>
      <c r="F533" s="7" t="str">
        <f aca="false">IF(C533="Compra",D533*E533,IF(C533="Staking",D533*E533,""))</f>
        <v/>
      </c>
      <c r="G533" s="7" t="str">
        <f aca="false">IF(C533="Venda",IF(COUNTIF(A$3:A532,A533)&gt;0,(E533-SUMPRODUCT((A$3:A532=A533)*(C$3:C532="Compra")*F$3:F532)/IF(SUMPRODUCT((A$3:A532=A533)*(C$3:C532="Compra")*D$3:D532)=0,1,SUMPRODUCT((A$3:A532=A533)*(C$3:C532="Compra")*D$3:D532)))*D533,0),"")</f>
        <v/>
      </c>
      <c r="H533" s="7" t="str">
        <f aca="false">IF(C533="Venda",E533*D533,"")</f>
        <v/>
      </c>
    </row>
    <row r="534" customFormat="false" ht="15" hidden="false" customHeight="false" outlineLevel="0" collapsed="false">
      <c r="A534" s="17" t="str">
        <f aca="false">IF(Transações!C534&lt;&gt;"",Transações!C534,"")</f>
        <v/>
      </c>
      <c r="B534" s="17" t="str">
        <f aca="false">IF(Transações!A534&lt;&gt;"",Transações!A534,"")</f>
        <v/>
      </c>
      <c r="C534" s="17" t="str">
        <f aca="false">IF(Transações!B534&lt;&gt;"",Transações!B534,"")</f>
        <v/>
      </c>
      <c r="D534" s="18" t="str">
        <f aca="false">IF(Transações!D534&lt;&gt;"",Transações!D534,"")</f>
        <v/>
      </c>
      <c r="E534" s="19" t="str">
        <f aca="false">IF(Transações!E534&lt;&gt;"",Transações!E534,"")</f>
        <v/>
      </c>
      <c r="F534" s="12" t="str">
        <f aca="false">IF(C534="Compra",D534*E534,IF(C534="Staking",D534*E534,""))</f>
        <v/>
      </c>
      <c r="G534" s="12" t="str">
        <f aca="false">IF(C534="Venda",IF(COUNTIF(A$3:A533,A534)&gt;0,(E534-SUMPRODUCT((A$3:A533=A534)*(C$3:C533="Compra")*F$3:F533)/IF(SUMPRODUCT((A$3:A533=A534)*(C$3:C533="Compra")*D$3:D533)=0,1,SUMPRODUCT((A$3:A533=A534)*(C$3:C533="Compra")*D$3:D533)))*D534,0),"")</f>
        <v/>
      </c>
      <c r="H534" s="12" t="str">
        <f aca="false">IF(C534="Venda",E534*D534,"")</f>
        <v/>
      </c>
    </row>
    <row r="535" customFormat="false" ht="15" hidden="false" customHeight="false" outlineLevel="0" collapsed="false">
      <c r="A535" s="14" t="str">
        <f aca="false">IF(Transações!C535&lt;&gt;"",Transações!C535,"")</f>
        <v/>
      </c>
      <c r="B535" s="14" t="str">
        <f aca="false">IF(Transações!A535&lt;&gt;"",Transações!A535,"")</f>
        <v/>
      </c>
      <c r="C535" s="14" t="str">
        <f aca="false">IF(Transações!B535&lt;&gt;"",Transações!B535,"")</f>
        <v/>
      </c>
      <c r="D535" s="15" t="str">
        <f aca="false">IF(Transações!D535&lt;&gt;"",Transações!D535,"")</f>
        <v/>
      </c>
      <c r="E535" s="16" t="str">
        <f aca="false">IF(Transações!E535&lt;&gt;"",Transações!E535,"")</f>
        <v/>
      </c>
      <c r="F535" s="7" t="str">
        <f aca="false">IF(C535="Compra",D535*E535,IF(C535="Staking",D535*E535,""))</f>
        <v/>
      </c>
      <c r="G535" s="7" t="str">
        <f aca="false">IF(C535="Venda",IF(COUNTIF(A$3:A534,A535)&gt;0,(E535-SUMPRODUCT((A$3:A534=A535)*(C$3:C534="Compra")*F$3:F534)/IF(SUMPRODUCT((A$3:A534=A535)*(C$3:C534="Compra")*D$3:D534)=0,1,SUMPRODUCT((A$3:A534=A535)*(C$3:C534="Compra")*D$3:D534)))*D535,0),"")</f>
        <v/>
      </c>
      <c r="H535" s="7" t="str">
        <f aca="false">IF(C535="Venda",E535*D535,"")</f>
        <v/>
      </c>
    </row>
    <row r="536" customFormat="false" ht="15" hidden="false" customHeight="false" outlineLevel="0" collapsed="false">
      <c r="A536" s="17" t="str">
        <f aca="false">IF(Transações!C536&lt;&gt;"",Transações!C536,"")</f>
        <v/>
      </c>
      <c r="B536" s="17" t="str">
        <f aca="false">IF(Transações!A536&lt;&gt;"",Transações!A536,"")</f>
        <v/>
      </c>
      <c r="C536" s="17" t="str">
        <f aca="false">IF(Transações!B536&lt;&gt;"",Transações!B536,"")</f>
        <v/>
      </c>
      <c r="D536" s="18" t="str">
        <f aca="false">IF(Transações!D536&lt;&gt;"",Transações!D536,"")</f>
        <v/>
      </c>
      <c r="E536" s="19" t="str">
        <f aca="false">IF(Transações!E536&lt;&gt;"",Transações!E536,"")</f>
        <v/>
      </c>
      <c r="F536" s="12" t="str">
        <f aca="false">IF(C536="Compra",D536*E536,IF(C536="Staking",D536*E536,""))</f>
        <v/>
      </c>
      <c r="G536" s="12" t="str">
        <f aca="false">IF(C536="Venda",IF(COUNTIF(A$3:A535,A536)&gt;0,(E536-SUMPRODUCT((A$3:A535=A536)*(C$3:C535="Compra")*F$3:F535)/IF(SUMPRODUCT((A$3:A535=A536)*(C$3:C535="Compra")*D$3:D535)=0,1,SUMPRODUCT((A$3:A535=A536)*(C$3:C535="Compra")*D$3:D535)))*D536,0),"")</f>
        <v/>
      </c>
      <c r="H536" s="12" t="str">
        <f aca="false">IF(C536="Venda",E536*D536,"")</f>
        <v/>
      </c>
    </row>
    <row r="537" customFormat="false" ht="15" hidden="false" customHeight="false" outlineLevel="0" collapsed="false">
      <c r="A537" s="14" t="str">
        <f aca="false">IF(Transações!C537&lt;&gt;"",Transações!C537,"")</f>
        <v/>
      </c>
      <c r="B537" s="14" t="str">
        <f aca="false">IF(Transações!A537&lt;&gt;"",Transações!A537,"")</f>
        <v/>
      </c>
      <c r="C537" s="14" t="str">
        <f aca="false">IF(Transações!B537&lt;&gt;"",Transações!B537,"")</f>
        <v/>
      </c>
      <c r="D537" s="15" t="str">
        <f aca="false">IF(Transações!D537&lt;&gt;"",Transações!D537,"")</f>
        <v/>
      </c>
      <c r="E537" s="16" t="str">
        <f aca="false">IF(Transações!E537&lt;&gt;"",Transações!E537,"")</f>
        <v/>
      </c>
      <c r="F537" s="7" t="str">
        <f aca="false">IF(C537="Compra",D537*E537,IF(C537="Staking",D537*E537,""))</f>
        <v/>
      </c>
      <c r="G537" s="7" t="str">
        <f aca="false">IF(C537="Venda",IF(COUNTIF(A$3:A536,A537)&gt;0,(E537-SUMPRODUCT((A$3:A536=A537)*(C$3:C536="Compra")*F$3:F536)/IF(SUMPRODUCT((A$3:A536=A537)*(C$3:C536="Compra")*D$3:D536)=0,1,SUMPRODUCT((A$3:A536=A537)*(C$3:C536="Compra")*D$3:D536)))*D537,0),"")</f>
        <v/>
      </c>
      <c r="H537" s="7" t="str">
        <f aca="false">IF(C537="Venda",E537*D537,"")</f>
        <v/>
      </c>
    </row>
    <row r="538" customFormat="false" ht="15" hidden="false" customHeight="false" outlineLevel="0" collapsed="false">
      <c r="A538" s="17" t="str">
        <f aca="false">IF(Transações!C538&lt;&gt;"",Transações!C538,"")</f>
        <v/>
      </c>
      <c r="B538" s="17" t="str">
        <f aca="false">IF(Transações!A538&lt;&gt;"",Transações!A538,"")</f>
        <v/>
      </c>
      <c r="C538" s="17" t="str">
        <f aca="false">IF(Transações!B538&lt;&gt;"",Transações!B538,"")</f>
        <v/>
      </c>
      <c r="D538" s="18" t="str">
        <f aca="false">IF(Transações!D538&lt;&gt;"",Transações!D538,"")</f>
        <v/>
      </c>
      <c r="E538" s="19" t="str">
        <f aca="false">IF(Transações!E538&lt;&gt;"",Transações!E538,"")</f>
        <v/>
      </c>
      <c r="F538" s="12" t="str">
        <f aca="false">IF(C538="Compra",D538*E538,IF(C538="Staking",D538*E538,""))</f>
        <v/>
      </c>
      <c r="G538" s="12" t="str">
        <f aca="false">IF(C538="Venda",IF(COUNTIF(A$3:A537,A538)&gt;0,(E538-SUMPRODUCT((A$3:A537=A538)*(C$3:C537="Compra")*F$3:F537)/IF(SUMPRODUCT((A$3:A537=A538)*(C$3:C537="Compra")*D$3:D537)=0,1,SUMPRODUCT((A$3:A537=A538)*(C$3:C537="Compra")*D$3:D537)))*D538,0),"")</f>
        <v/>
      </c>
      <c r="H538" s="12" t="str">
        <f aca="false">IF(C538="Venda",E538*D538,"")</f>
        <v/>
      </c>
    </row>
    <row r="539" customFormat="false" ht="15" hidden="false" customHeight="false" outlineLevel="0" collapsed="false">
      <c r="A539" s="14" t="str">
        <f aca="false">IF(Transações!C539&lt;&gt;"",Transações!C539,"")</f>
        <v/>
      </c>
      <c r="B539" s="14" t="str">
        <f aca="false">IF(Transações!A539&lt;&gt;"",Transações!A539,"")</f>
        <v/>
      </c>
      <c r="C539" s="14" t="str">
        <f aca="false">IF(Transações!B539&lt;&gt;"",Transações!B539,"")</f>
        <v/>
      </c>
      <c r="D539" s="15" t="str">
        <f aca="false">IF(Transações!D539&lt;&gt;"",Transações!D539,"")</f>
        <v/>
      </c>
      <c r="E539" s="16" t="str">
        <f aca="false">IF(Transações!E539&lt;&gt;"",Transações!E539,"")</f>
        <v/>
      </c>
      <c r="F539" s="7" t="str">
        <f aca="false">IF(C539="Compra",D539*E539,IF(C539="Staking",D539*E539,""))</f>
        <v/>
      </c>
      <c r="G539" s="7" t="str">
        <f aca="false">IF(C539="Venda",IF(COUNTIF(A$3:A538,A539)&gt;0,(E539-SUMPRODUCT((A$3:A538=A539)*(C$3:C538="Compra")*F$3:F538)/IF(SUMPRODUCT((A$3:A538=A539)*(C$3:C538="Compra")*D$3:D538)=0,1,SUMPRODUCT((A$3:A538=A539)*(C$3:C538="Compra")*D$3:D538)))*D539,0),"")</f>
        <v/>
      </c>
      <c r="H539" s="7" t="str">
        <f aca="false">IF(C539="Venda",E539*D539,"")</f>
        <v/>
      </c>
    </row>
    <row r="540" customFormat="false" ht="15" hidden="false" customHeight="false" outlineLevel="0" collapsed="false">
      <c r="A540" s="17" t="str">
        <f aca="false">IF(Transações!C540&lt;&gt;"",Transações!C540,"")</f>
        <v/>
      </c>
      <c r="B540" s="17" t="str">
        <f aca="false">IF(Transações!A540&lt;&gt;"",Transações!A540,"")</f>
        <v/>
      </c>
      <c r="C540" s="17" t="str">
        <f aca="false">IF(Transações!B540&lt;&gt;"",Transações!B540,"")</f>
        <v/>
      </c>
      <c r="D540" s="18" t="str">
        <f aca="false">IF(Transações!D540&lt;&gt;"",Transações!D540,"")</f>
        <v/>
      </c>
      <c r="E540" s="19" t="str">
        <f aca="false">IF(Transações!E540&lt;&gt;"",Transações!E540,"")</f>
        <v/>
      </c>
      <c r="F540" s="12" t="str">
        <f aca="false">IF(C540="Compra",D540*E540,IF(C540="Staking",D540*E540,""))</f>
        <v/>
      </c>
      <c r="G540" s="12" t="str">
        <f aca="false">IF(C540="Venda",IF(COUNTIF(A$3:A539,A540)&gt;0,(E540-SUMPRODUCT((A$3:A539=A540)*(C$3:C539="Compra")*F$3:F539)/IF(SUMPRODUCT((A$3:A539=A540)*(C$3:C539="Compra")*D$3:D539)=0,1,SUMPRODUCT((A$3:A539=A540)*(C$3:C539="Compra")*D$3:D539)))*D540,0),"")</f>
        <v/>
      </c>
      <c r="H540" s="12" t="str">
        <f aca="false">IF(C540="Venda",E540*D540,"")</f>
        <v/>
      </c>
    </row>
    <row r="541" customFormat="false" ht="15" hidden="false" customHeight="false" outlineLevel="0" collapsed="false">
      <c r="A541" s="14" t="str">
        <f aca="false">IF(Transações!C541&lt;&gt;"",Transações!C541,"")</f>
        <v/>
      </c>
      <c r="B541" s="14" t="str">
        <f aca="false">IF(Transações!A541&lt;&gt;"",Transações!A541,"")</f>
        <v/>
      </c>
      <c r="C541" s="14" t="str">
        <f aca="false">IF(Transações!B541&lt;&gt;"",Transações!B541,"")</f>
        <v/>
      </c>
      <c r="D541" s="15" t="str">
        <f aca="false">IF(Transações!D541&lt;&gt;"",Transações!D541,"")</f>
        <v/>
      </c>
      <c r="E541" s="16" t="str">
        <f aca="false">IF(Transações!E541&lt;&gt;"",Transações!E541,"")</f>
        <v/>
      </c>
      <c r="F541" s="7" t="str">
        <f aca="false">IF(C541="Compra",D541*E541,IF(C541="Staking",D541*E541,""))</f>
        <v/>
      </c>
      <c r="G541" s="7" t="str">
        <f aca="false">IF(C541="Venda",IF(COUNTIF(A$3:A540,A541)&gt;0,(E541-SUMPRODUCT((A$3:A540=A541)*(C$3:C540="Compra")*F$3:F540)/IF(SUMPRODUCT((A$3:A540=A541)*(C$3:C540="Compra")*D$3:D540)=0,1,SUMPRODUCT((A$3:A540=A541)*(C$3:C540="Compra")*D$3:D540)))*D541,0),"")</f>
        <v/>
      </c>
      <c r="H541" s="7" t="str">
        <f aca="false">IF(C541="Venda",E541*D541,"")</f>
        <v/>
      </c>
    </row>
    <row r="542" customFormat="false" ht="15" hidden="false" customHeight="false" outlineLevel="0" collapsed="false">
      <c r="A542" s="17" t="str">
        <f aca="false">IF(Transações!C542&lt;&gt;"",Transações!C542,"")</f>
        <v/>
      </c>
      <c r="B542" s="17" t="str">
        <f aca="false">IF(Transações!A542&lt;&gt;"",Transações!A542,"")</f>
        <v/>
      </c>
      <c r="C542" s="17" t="str">
        <f aca="false">IF(Transações!B542&lt;&gt;"",Transações!B542,"")</f>
        <v/>
      </c>
      <c r="D542" s="18" t="str">
        <f aca="false">IF(Transações!D542&lt;&gt;"",Transações!D542,"")</f>
        <v/>
      </c>
      <c r="E542" s="19" t="str">
        <f aca="false">IF(Transações!E542&lt;&gt;"",Transações!E542,"")</f>
        <v/>
      </c>
      <c r="F542" s="12" t="str">
        <f aca="false">IF(C542="Compra",D542*E542,IF(C542="Staking",D542*E542,""))</f>
        <v/>
      </c>
      <c r="G542" s="12" t="str">
        <f aca="false">IF(C542="Venda",IF(COUNTIF(A$3:A541,A542)&gt;0,(E542-SUMPRODUCT((A$3:A541=A542)*(C$3:C541="Compra")*F$3:F541)/IF(SUMPRODUCT((A$3:A541=A542)*(C$3:C541="Compra")*D$3:D541)=0,1,SUMPRODUCT((A$3:A541=A542)*(C$3:C541="Compra")*D$3:D541)))*D542,0),"")</f>
        <v/>
      </c>
      <c r="H542" s="12" t="str">
        <f aca="false">IF(C542="Venda",E542*D542,"")</f>
        <v/>
      </c>
    </row>
    <row r="543" customFormat="false" ht="15" hidden="false" customHeight="false" outlineLevel="0" collapsed="false">
      <c r="A543" s="14" t="str">
        <f aca="false">IF(Transações!C543&lt;&gt;"",Transações!C543,"")</f>
        <v/>
      </c>
      <c r="B543" s="14" t="str">
        <f aca="false">IF(Transações!A543&lt;&gt;"",Transações!A543,"")</f>
        <v/>
      </c>
      <c r="C543" s="14" t="str">
        <f aca="false">IF(Transações!B543&lt;&gt;"",Transações!B543,"")</f>
        <v/>
      </c>
      <c r="D543" s="15" t="str">
        <f aca="false">IF(Transações!D543&lt;&gt;"",Transações!D543,"")</f>
        <v/>
      </c>
      <c r="E543" s="16" t="str">
        <f aca="false">IF(Transações!E543&lt;&gt;"",Transações!E543,"")</f>
        <v/>
      </c>
      <c r="F543" s="7" t="str">
        <f aca="false">IF(C543="Compra",D543*E543,IF(C543="Staking",D543*E543,""))</f>
        <v/>
      </c>
      <c r="G543" s="7" t="str">
        <f aca="false">IF(C543="Venda",IF(COUNTIF(A$3:A542,A543)&gt;0,(E543-SUMPRODUCT((A$3:A542=A543)*(C$3:C542="Compra")*F$3:F542)/IF(SUMPRODUCT((A$3:A542=A543)*(C$3:C542="Compra")*D$3:D542)=0,1,SUMPRODUCT((A$3:A542=A543)*(C$3:C542="Compra")*D$3:D542)))*D543,0),"")</f>
        <v/>
      </c>
      <c r="H543" s="7" t="str">
        <f aca="false">IF(C543="Venda",E543*D543,"")</f>
        <v/>
      </c>
    </row>
    <row r="544" customFormat="false" ht="15" hidden="false" customHeight="false" outlineLevel="0" collapsed="false">
      <c r="A544" s="17" t="str">
        <f aca="false">IF(Transações!C544&lt;&gt;"",Transações!C544,"")</f>
        <v/>
      </c>
      <c r="B544" s="17" t="str">
        <f aca="false">IF(Transações!A544&lt;&gt;"",Transações!A544,"")</f>
        <v/>
      </c>
      <c r="C544" s="17" t="str">
        <f aca="false">IF(Transações!B544&lt;&gt;"",Transações!B544,"")</f>
        <v/>
      </c>
      <c r="D544" s="18" t="str">
        <f aca="false">IF(Transações!D544&lt;&gt;"",Transações!D544,"")</f>
        <v/>
      </c>
      <c r="E544" s="19" t="str">
        <f aca="false">IF(Transações!E544&lt;&gt;"",Transações!E544,"")</f>
        <v/>
      </c>
      <c r="F544" s="12" t="str">
        <f aca="false">IF(C544="Compra",D544*E544,IF(C544="Staking",D544*E544,""))</f>
        <v/>
      </c>
      <c r="G544" s="12" t="str">
        <f aca="false">IF(C544="Venda",IF(COUNTIF(A$3:A543,A544)&gt;0,(E544-SUMPRODUCT((A$3:A543=A544)*(C$3:C543="Compra")*F$3:F543)/IF(SUMPRODUCT((A$3:A543=A544)*(C$3:C543="Compra")*D$3:D543)=0,1,SUMPRODUCT((A$3:A543=A544)*(C$3:C543="Compra")*D$3:D543)))*D544,0),"")</f>
        <v/>
      </c>
      <c r="H544" s="12" t="str">
        <f aca="false">IF(C544="Venda",E544*D544,"")</f>
        <v/>
      </c>
    </row>
    <row r="545" customFormat="false" ht="15" hidden="false" customHeight="false" outlineLevel="0" collapsed="false">
      <c r="A545" s="14" t="str">
        <f aca="false">IF(Transações!C545&lt;&gt;"",Transações!C545,"")</f>
        <v/>
      </c>
      <c r="B545" s="14" t="str">
        <f aca="false">IF(Transações!A545&lt;&gt;"",Transações!A545,"")</f>
        <v/>
      </c>
      <c r="C545" s="14" t="str">
        <f aca="false">IF(Transações!B545&lt;&gt;"",Transações!B545,"")</f>
        <v/>
      </c>
      <c r="D545" s="15" t="str">
        <f aca="false">IF(Transações!D545&lt;&gt;"",Transações!D545,"")</f>
        <v/>
      </c>
      <c r="E545" s="16" t="str">
        <f aca="false">IF(Transações!E545&lt;&gt;"",Transações!E545,"")</f>
        <v/>
      </c>
      <c r="F545" s="7" t="str">
        <f aca="false">IF(C545="Compra",D545*E545,IF(C545="Staking",D545*E545,""))</f>
        <v/>
      </c>
      <c r="G545" s="7" t="str">
        <f aca="false">IF(C545="Venda",IF(COUNTIF(A$3:A544,A545)&gt;0,(E545-SUMPRODUCT((A$3:A544=A545)*(C$3:C544="Compra")*F$3:F544)/IF(SUMPRODUCT((A$3:A544=A545)*(C$3:C544="Compra")*D$3:D544)=0,1,SUMPRODUCT((A$3:A544=A545)*(C$3:C544="Compra")*D$3:D544)))*D545,0),"")</f>
        <v/>
      </c>
      <c r="H545" s="7" t="str">
        <f aca="false">IF(C545="Venda",E545*D545,"")</f>
        <v/>
      </c>
    </row>
    <row r="546" customFormat="false" ht="15" hidden="false" customHeight="false" outlineLevel="0" collapsed="false">
      <c r="A546" s="17" t="str">
        <f aca="false">IF(Transações!C546&lt;&gt;"",Transações!C546,"")</f>
        <v/>
      </c>
      <c r="B546" s="17" t="str">
        <f aca="false">IF(Transações!A546&lt;&gt;"",Transações!A546,"")</f>
        <v/>
      </c>
      <c r="C546" s="17" t="str">
        <f aca="false">IF(Transações!B546&lt;&gt;"",Transações!B546,"")</f>
        <v/>
      </c>
      <c r="D546" s="18" t="str">
        <f aca="false">IF(Transações!D546&lt;&gt;"",Transações!D546,"")</f>
        <v/>
      </c>
      <c r="E546" s="19" t="str">
        <f aca="false">IF(Transações!E546&lt;&gt;"",Transações!E546,"")</f>
        <v/>
      </c>
      <c r="F546" s="12" t="str">
        <f aca="false">IF(C546="Compra",D546*E546,IF(C546="Staking",D546*E546,""))</f>
        <v/>
      </c>
      <c r="G546" s="12" t="str">
        <f aca="false">IF(C546="Venda",IF(COUNTIF(A$3:A545,A546)&gt;0,(E546-SUMPRODUCT((A$3:A545=A546)*(C$3:C545="Compra")*F$3:F545)/IF(SUMPRODUCT((A$3:A545=A546)*(C$3:C545="Compra")*D$3:D545)=0,1,SUMPRODUCT((A$3:A545=A546)*(C$3:C545="Compra")*D$3:D545)))*D546,0),"")</f>
        <v/>
      </c>
      <c r="H546" s="12" t="str">
        <f aca="false">IF(C546="Venda",E546*D546,"")</f>
        <v/>
      </c>
    </row>
    <row r="547" customFormat="false" ht="15" hidden="false" customHeight="false" outlineLevel="0" collapsed="false">
      <c r="A547" s="14" t="str">
        <f aca="false">IF(Transações!C547&lt;&gt;"",Transações!C547,"")</f>
        <v/>
      </c>
      <c r="B547" s="14" t="str">
        <f aca="false">IF(Transações!A547&lt;&gt;"",Transações!A547,"")</f>
        <v/>
      </c>
      <c r="C547" s="14" t="str">
        <f aca="false">IF(Transações!B547&lt;&gt;"",Transações!B547,"")</f>
        <v/>
      </c>
      <c r="D547" s="15" t="str">
        <f aca="false">IF(Transações!D547&lt;&gt;"",Transações!D547,"")</f>
        <v/>
      </c>
      <c r="E547" s="16" t="str">
        <f aca="false">IF(Transações!E547&lt;&gt;"",Transações!E547,"")</f>
        <v/>
      </c>
      <c r="F547" s="7" t="str">
        <f aca="false">IF(C547="Compra",D547*E547,IF(C547="Staking",D547*E547,""))</f>
        <v/>
      </c>
      <c r="G547" s="7" t="str">
        <f aca="false">IF(C547="Venda",IF(COUNTIF(A$3:A546,A547)&gt;0,(E547-SUMPRODUCT((A$3:A546=A547)*(C$3:C546="Compra")*F$3:F546)/IF(SUMPRODUCT((A$3:A546=A547)*(C$3:C546="Compra")*D$3:D546)=0,1,SUMPRODUCT((A$3:A546=A547)*(C$3:C546="Compra")*D$3:D546)))*D547,0),"")</f>
        <v/>
      </c>
      <c r="H547" s="7" t="str">
        <f aca="false">IF(C547="Venda",E547*D547,"")</f>
        <v/>
      </c>
    </row>
    <row r="548" customFormat="false" ht="15" hidden="false" customHeight="false" outlineLevel="0" collapsed="false">
      <c r="A548" s="17" t="str">
        <f aca="false">IF(Transações!C548&lt;&gt;"",Transações!C548,"")</f>
        <v/>
      </c>
      <c r="B548" s="17" t="str">
        <f aca="false">IF(Transações!A548&lt;&gt;"",Transações!A548,"")</f>
        <v/>
      </c>
      <c r="C548" s="17" t="str">
        <f aca="false">IF(Transações!B548&lt;&gt;"",Transações!B548,"")</f>
        <v/>
      </c>
      <c r="D548" s="18" t="str">
        <f aca="false">IF(Transações!D548&lt;&gt;"",Transações!D548,"")</f>
        <v/>
      </c>
      <c r="E548" s="19" t="str">
        <f aca="false">IF(Transações!E548&lt;&gt;"",Transações!E548,"")</f>
        <v/>
      </c>
      <c r="F548" s="12" t="str">
        <f aca="false">IF(C548="Compra",D548*E548,IF(C548="Staking",D548*E548,""))</f>
        <v/>
      </c>
      <c r="G548" s="12" t="str">
        <f aca="false">IF(C548="Venda",IF(COUNTIF(A$3:A547,A548)&gt;0,(E548-SUMPRODUCT((A$3:A547=A548)*(C$3:C547="Compra")*F$3:F547)/IF(SUMPRODUCT((A$3:A547=A548)*(C$3:C547="Compra")*D$3:D547)=0,1,SUMPRODUCT((A$3:A547=A548)*(C$3:C547="Compra")*D$3:D547)))*D548,0),"")</f>
        <v/>
      </c>
      <c r="H548" s="12" t="str">
        <f aca="false">IF(C548="Venda",E548*D548,"")</f>
        <v/>
      </c>
    </row>
    <row r="549" customFormat="false" ht="15" hidden="false" customHeight="false" outlineLevel="0" collapsed="false">
      <c r="A549" s="14" t="str">
        <f aca="false">IF(Transações!C549&lt;&gt;"",Transações!C549,"")</f>
        <v/>
      </c>
      <c r="B549" s="14" t="str">
        <f aca="false">IF(Transações!A549&lt;&gt;"",Transações!A549,"")</f>
        <v/>
      </c>
      <c r="C549" s="14" t="str">
        <f aca="false">IF(Transações!B549&lt;&gt;"",Transações!B549,"")</f>
        <v/>
      </c>
      <c r="D549" s="15" t="str">
        <f aca="false">IF(Transações!D549&lt;&gt;"",Transações!D549,"")</f>
        <v/>
      </c>
      <c r="E549" s="16" t="str">
        <f aca="false">IF(Transações!E549&lt;&gt;"",Transações!E549,"")</f>
        <v/>
      </c>
      <c r="F549" s="7" t="str">
        <f aca="false">IF(C549="Compra",D549*E549,IF(C549="Staking",D549*E549,""))</f>
        <v/>
      </c>
      <c r="G549" s="7" t="str">
        <f aca="false">IF(C549="Venda",IF(COUNTIF(A$3:A548,A549)&gt;0,(E549-SUMPRODUCT((A$3:A548=A549)*(C$3:C548="Compra")*F$3:F548)/IF(SUMPRODUCT((A$3:A548=A549)*(C$3:C548="Compra")*D$3:D548)=0,1,SUMPRODUCT((A$3:A548=A549)*(C$3:C548="Compra")*D$3:D548)))*D549,0),"")</f>
        <v/>
      </c>
      <c r="H549" s="7" t="str">
        <f aca="false">IF(C549="Venda",E549*D549,"")</f>
        <v/>
      </c>
    </row>
    <row r="550" customFormat="false" ht="15" hidden="false" customHeight="false" outlineLevel="0" collapsed="false">
      <c r="A550" s="17" t="str">
        <f aca="false">IF(Transações!C550&lt;&gt;"",Transações!C550,"")</f>
        <v/>
      </c>
      <c r="B550" s="17" t="str">
        <f aca="false">IF(Transações!A550&lt;&gt;"",Transações!A550,"")</f>
        <v/>
      </c>
      <c r="C550" s="17" t="str">
        <f aca="false">IF(Transações!B550&lt;&gt;"",Transações!B550,"")</f>
        <v/>
      </c>
      <c r="D550" s="18" t="str">
        <f aca="false">IF(Transações!D550&lt;&gt;"",Transações!D550,"")</f>
        <v/>
      </c>
      <c r="E550" s="19" t="str">
        <f aca="false">IF(Transações!E550&lt;&gt;"",Transações!E550,"")</f>
        <v/>
      </c>
      <c r="F550" s="12" t="str">
        <f aca="false">IF(C550="Compra",D550*E550,IF(C550="Staking",D550*E550,""))</f>
        <v/>
      </c>
      <c r="G550" s="12" t="str">
        <f aca="false">IF(C550="Venda",IF(COUNTIF(A$3:A549,A550)&gt;0,(E550-SUMPRODUCT((A$3:A549=A550)*(C$3:C549="Compra")*F$3:F549)/IF(SUMPRODUCT((A$3:A549=A550)*(C$3:C549="Compra")*D$3:D549)=0,1,SUMPRODUCT((A$3:A549=A550)*(C$3:C549="Compra")*D$3:D549)))*D550,0),"")</f>
        <v/>
      </c>
      <c r="H550" s="12" t="str">
        <f aca="false">IF(C550="Venda",E550*D550,"")</f>
        <v/>
      </c>
    </row>
    <row r="551" customFormat="false" ht="15" hidden="false" customHeight="false" outlineLevel="0" collapsed="false">
      <c r="A551" s="14" t="str">
        <f aca="false">IF(Transações!C551&lt;&gt;"",Transações!C551,"")</f>
        <v/>
      </c>
      <c r="B551" s="14" t="str">
        <f aca="false">IF(Transações!A551&lt;&gt;"",Transações!A551,"")</f>
        <v/>
      </c>
      <c r="C551" s="14" t="str">
        <f aca="false">IF(Transações!B551&lt;&gt;"",Transações!B551,"")</f>
        <v/>
      </c>
      <c r="D551" s="15" t="str">
        <f aca="false">IF(Transações!D551&lt;&gt;"",Transações!D551,"")</f>
        <v/>
      </c>
      <c r="E551" s="16" t="str">
        <f aca="false">IF(Transações!E551&lt;&gt;"",Transações!E551,"")</f>
        <v/>
      </c>
      <c r="F551" s="7" t="str">
        <f aca="false">IF(C551="Compra",D551*E551,IF(C551="Staking",D551*E551,""))</f>
        <v/>
      </c>
      <c r="G551" s="7" t="str">
        <f aca="false">IF(C551="Venda",IF(COUNTIF(A$3:A550,A551)&gt;0,(E551-SUMPRODUCT((A$3:A550=A551)*(C$3:C550="Compra")*F$3:F550)/IF(SUMPRODUCT((A$3:A550=A551)*(C$3:C550="Compra")*D$3:D550)=0,1,SUMPRODUCT((A$3:A550=A551)*(C$3:C550="Compra")*D$3:D550)))*D551,0),"")</f>
        <v/>
      </c>
      <c r="H551" s="7" t="str">
        <f aca="false">IF(C551="Venda",E551*D551,"")</f>
        <v/>
      </c>
    </row>
    <row r="552" customFormat="false" ht="15" hidden="false" customHeight="false" outlineLevel="0" collapsed="false">
      <c r="A552" s="17" t="str">
        <f aca="false">IF(Transações!C552&lt;&gt;"",Transações!C552,"")</f>
        <v/>
      </c>
      <c r="B552" s="17" t="str">
        <f aca="false">IF(Transações!A552&lt;&gt;"",Transações!A552,"")</f>
        <v/>
      </c>
      <c r="C552" s="17" t="str">
        <f aca="false">IF(Transações!B552&lt;&gt;"",Transações!B552,"")</f>
        <v/>
      </c>
      <c r="D552" s="18" t="str">
        <f aca="false">IF(Transações!D552&lt;&gt;"",Transações!D552,"")</f>
        <v/>
      </c>
      <c r="E552" s="19" t="str">
        <f aca="false">IF(Transações!E552&lt;&gt;"",Transações!E552,"")</f>
        <v/>
      </c>
      <c r="F552" s="12" t="str">
        <f aca="false">IF(C552="Compra",D552*E552,IF(C552="Staking",D552*E552,""))</f>
        <v/>
      </c>
      <c r="G552" s="12" t="str">
        <f aca="false">IF(C552="Venda",IF(COUNTIF(A$3:A551,A552)&gt;0,(E552-SUMPRODUCT((A$3:A551=A552)*(C$3:C551="Compra")*F$3:F551)/IF(SUMPRODUCT((A$3:A551=A552)*(C$3:C551="Compra")*D$3:D551)=0,1,SUMPRODUCT((A$3:A551=A552)*(C$3:C551="Compra")*D$3:D551)))*D552,0),"")</f>
        <v/>
      </c>
      <c r="H552" s="12" t="str">
        <f aca="false">IF(C552="Venda",E552*D552,"")</f>
        <v/>
      </c>
    </row>
    <row r="553" customFormat="false" ht="15" hidden="false" customHeight="false" outlineLevel="0" collapsed="false">
      <c r="A553" s="14" t="str">
        <f aca="false">IF(Transações!C553&lt;&gt;"",Transações!C553,"")</f>
        <v/>
      </c>
      <c r="B553" s="14" t="str">
        <f aca="false">IF(Transações!A553&lt;&gt;"",Transações!A553,"")</f>
        <v/>
      </c>
      <c r="C553" s="14" t="str">
        <f aca="false">IF(Transações!B553&lt;&gt;"",Transações!B553,"")</f>
        <v/>
      </c>
      <c r="D553" s="15" t="str">
        <f aca="false">IF(Transações!D553&lt;&gt;"",Transações!D553,"")</f>
        <v/>
      </c>
      <c r="E553" s="16" t="str">
        <f aca="false">IF(Transações!E553&lt;&gt;"",Transações!E553,"")</f>
        <v/>
      </c>
      <c r="F553" s="7" t="str">
        <f aca="false">IF(C553="Compra",D553*E553,IF(C553="Staking",D553*E553,""))</f>
        <v/>
      </c>
      <c r="G553" s="7" t="str">
        <f aca="false">IF(C553="Venda",IF(COUNTIF(A$3:A552,A553)&gt;0,(E553-SUMPRODUCT((A$3:A552=A553)*(C$3:C552="Compra")*F$3:F552)/IF(SUMPRODUCT((A$3:A552=A553)*(C$3:C552="Compra")*D$3:D552)=0,1,SUMPRODUCT((A$3:A552=A553)*(C$3:C552="Compra")*D$3:D552)))*D553,0),"")</f>
        <v/>
      </c>
      <c r="H553" s="7" t="str">
        <f aca="false">IF(C553="Venda",E553*D553,"")</f>
        <v/>
      </c>
    </row>
    <row r="554" customFormat="false" ht="15" hidden="false" customHeight="false" outlineLevel="0" collapsed="false">
      <c r="A554" s="17" t="str">
        <f aca="false">IF(Transações!C554&lt;&gt;"",Transações!C554,"")</f>
        <v/>
      </c>
      <c r="B554" s="17" t="str">
        <f aca="false">IF(Transações!A554&lt;&gt;"",Transações!A554,"")</f>
        <v/>
      </c>
      <c r="C554" s="17" t="str">
        <f aca="false">IF(Transações!B554&lt;&gt;"",Transações!B554,"")</f>
        <v/>
      </c>
      <c r="D554" s="18" t="str">
        <f aca="false">IF(Transações!D554&lt;&gt;"",Transações!D554,"")</f>
        <v/>
      </c>
      <c r="E554" s="19" t="str">
        <f aca="false">IF(Transações!E554&lt;&gt;"",Transações!E554,"")</f>
        <v/>
      </c>
      <c r="F554" s="12" t="str">
        <f aca="false">IF(C554="Compra",D554*E554,IF(C554="Staking",D554*E554,""))</f>
        <v/>
      </c>
      <c r="G554" s="12" t="str">
        <f aca="false">IF(C554="Venda",IF(COUNTIF(A$3:A553,A554)&gt;0,(E554-SUMPRODUCT((A$3:A553=A554)*(C$3:C553="Compra")*F$3:F553)/IF(SUMPRODUCT((A$3:A553=A554)*(C$3:C553="Compra")*D$3:D553)=0,1,SUMPRODUCT((A$3:A553=A554)*(C$3:C553="Compra")*D$3:D553)))*D554,0),"")</f>
        <v/>
      </c>
      <c r="H554" s="12" t="str">
        <f aca="false">IF(C554="Venda",E554*D554,"")</f>
        <v/>
      </c>
    </row>
    <row r="555" customFormat="false" ht="15" hidden="false" customHeight="false" outlineLevel="0" collapsed="false">
      <c r="A555" s="14" t="str">
        <f aca="false">IF(Transações!C555&lt;&gt;"",Transações!C555,"")</f>
        <v/>
      </c>
      <c r="B555" s="14" t="str">
        <f aca="false">IF(Transações!A555&lt;&gt;"",Transações!A555,"")</f>
        <v/>
      </c>
      <c r="C555" s="14" t="str">
        <f aca="false">IF(Transações!B555&lt;&gt;"",Transações!B555,"")</f>
        <v/>
      </c>
      <c r="D555" s="15" t="str">
        <f aca="false">IF(Transações!D555&lt;&gt;"",Transações!D555,"")</f>
        <v/>
      </c>
      <c r="E555" s="16" t="str">
        <f aca="false">IF(Transações!E555&lt;&gt;"",Transações!E555,"")</f>
        <v/>
      </c>
      <c r="F555" s="7" t="str">
        <f aca="false">IF(C555="Compra",D555*E555,IF(C555="Staking",D555*E555,""))</f>
        <v/>
      </c>
      <c r="G555" s="7" t="str">
        <f aca="false">IF(C555="Venda",IF(COUNTIF(A$3:A554,A555)&gt;0,(E555-SUMPRODUCT((A$3:A554=A555)*(C$3:C554="Compra")*F$3:F554)/IF(SUMPRODUCT((A$3:A554=A555)*(C$3:C554="Compra")*D$3:D554)=0,1,SUMPRODUCT((A$3:A554=A555)*(C$3:C554="Compra")*D$3:D554)))*D555,0),"")</f>
        <v/>
      </c>
      <c r="H555" s="7" t="str">
        <f aca="false">IF(C555="Venda",E555*D555,"")</f>
        <v/>
      </c>
    </row>
    <row r="556" customFormat="false" ht="15" hidden="false" customHeight="false" outlineLevel="0" collapsed="false">
      <c r="A556" s="17" t="str">
        <f aca="false">IF(Transações!C556&lt;&gt;"",Transações!C556,"")</f>
        <v/>
      </c>
      <c r="B556" s="17" t="str">
        <f aca="false">IF(Transações!A556&lt;&gt;"",Transações!A556,"")</f>
        <v/>
      </c>
      <c r="C556" s="17" t="str">
        <f aca="false">IF(Transações!B556&lt;&gt;"",Transações!B556,"")</f>
        <v/>
      </c>
      <c r="D556" s="18" t="str">
        <f aca="false">IF(Transações!D556&lt;&gt;"",Transações!D556,"")</f>
        <v/>
      </c>
      <c r="E556" s="19" t="str">
        <f aca="false">IF(Transações!E556&lt;&gt;"",Transações!E556,"")</f>
        <v/>
      </c>
      <c r="F556" s="12" t="str">
        <f aca="false">IF(C556="Compra",D556*E556,IF(C556="Staking",D556*E556,""))</f>
        <v/>
      </c>
      <c r="G556" s="12" t="str">
        <f aca="false">IF(C556="Venda",IF(COUNTIF(A$3:A555,A556)&gt;0,(E556-SUMPRODUCT((A$3:A555=A556)*(C$3:C555="Compra")*F$3:F555)/IF(SUMPRODUCT((A$3:A555=A556)*(C$3:C555="Compra")*D$3:D555)=0,1,SUMPRODUCT((A$3:A555=A556)*(C$3:C555="Compra")*D$3:D555)))*D556,0),"")</f>
        <v/>
      </c>
      <c r="H556" s="12" t="str">
        <f aca="false">IF(C556="Venda",E556*D556,"")</f>
        <v/>
      </c>
    </row>
    <row r="557" customFormat="false" ht="15" hidden="false" customHeight="false" outlineLevel="0" collapsed="false">
      <c r="A557" s="14" t="str">
        <f aca="false">IF(Transações!C557&lt;&gt;"",Transações!C557,"")</f>
        <v/>
      </c>
      <c r="B557" s="14" t="str">
        <f aca="false">IF(Transações!A557&lt;&gt;"",Transações!A557,"")</f>
        <v/>
      </c>
      <c r="C557" s="14" t="str">
        <f aca="false">IF(Transações!B557&lt;&gt;"",Transações!B557,"")</f>
        <v/>
      </c>
      <c r="D557" s="15" t="str">
        <f aca="false">IF(Transações!D557&lt;&gt;"",Transações!D557,"")</f>
        <v/>
      </c>
      <c r="E557" s="16" t="str">
        <f aca="false">IF(Transações!E557&lt;&gt;"",Transações!E557,"")</f>
        <v/>
      </c>
      <c r="F557" s="7" t="str">
        <f aca="false">IF(C557="Compra",D557*E557,IF(C557="Staking",D557*E557,""))</f>
        <v/>
      </c>
      <c r="G557" s="7" t="str">
        <f aca="false">IF(C557="Venda",IF(COUNTIF(A$3:A556,A557)&gt;0,(E557-SUMPRODUCT((A$3:A556=A557)*(C$3:C556="Compra")*F$3:F556)/IF(SUMPRODUCT((A$3:A556=A557)*(C$3:C556="Compra")*D$3:D556)=0,1,SUMPRODUCT((A$3:A556=A557)*(C$3:C556="Compra")*D$3:D556)))*D557,0),"")</f>
        <v/>
      </c>
      <c r="H557" s="7" t="str">
        <f aca="false">IF(C557="Venda",E557*D557,"")</f>
        <v/>
      </c>
    </row>
    <row r="558" customFormat="false" ht="15" hidden="false" customHeight="false" outlineLevel="0" collapsed="false">
      <c r="A558" s="17" t="str">
        <f aca="false">IF(Transações!C558&lt;&gt;"",Transações!C558,"")</f>
        <v/>
      </c>
      <c r="B558" s="17" t="str">
        <f aca="false">IF(Transações!A558&lt;&gt;"",Transações!A558,"")</f>
        <v/>
      </c>
      <c r="C558" s="17" t="str">
        <f aca="false">IF(Transações!B558&lt;&gt;"",Transações!B558,"")</f>
        <v/>
      </c>
      <c r="D558" s="18" t="str">
        <f aca="false">IF(Transações!D558&lt;&gt;"",Transações!D558,"")</f>
        <v/>
      </c>
      <c r="E558" s="19" t="str">
        <f aca="false">IF(Transações!E558&lt;&gt;"",Transações!E558,"")</f>
        <v/>
      </c>
      <c r="F558" s="12" t="str">
        <f aca="false">IF(C558="Compra",D558*E558,IF(C558="Staking",D558*E558,""))</f>
        <v/>
      </c>
      <c r="G558" s="12" t="str">
        <f aca="false">IF(C558="Venda",IF(COUNTIF(A$3:A557,A558)&gt;0,(E558-SUMPRODUCT((A$3:A557=A558)*(C$3:C557="Compra")*F$3:F557)/IF(SUMPRODUCT((A$3:A557=A558)*(C$3:C557="Compra")*D$3:D557)=0,1,SUMPRODUCT((A$3:A557=A558)*(C$3:C557="Compra")*D$3:D557)))*D558,0),"")</f>
        <v/>
      </c>
      <c r="H558" s="12" t="str">
        <f aca="false">IF(C558="Venda",E558*D558,"")</f>
        <v/>
      </c>
    </row>
    <row r="559" customFormat="false" ht="15" hidden="false" customHeight="false" outlineLevel="0" collapsed="false">
      <c r="A559" s="14" t="str">
        <f aca="false">IF(Transações!C559&lt;&gt;"",Transações!C559,"")</f>
        <v/>
      </c>
      <c r="B559" s="14" t="str">
        <f aca="false">IF(Transações!A559&lt;&gt;"",Transações!A559,"")</f>
        <v/>
      </c>
      <c r="C559" s="14" t="str">
        <f aca="false">IF(Transações!B559&lt;&gt;"",Transações!B559,"")</f>
        <v/>
      </c>
      <c r="D559" s="15" t="str">
        <f aca="false">IF(Transações!D559&lt;&gt;"",Transações!D559,"")</f>
        <v/>
      </c>
      <c r="E559" s="16" t="str">
        <f aca="false">IF(Transações!E559&lt;&gt;"",Transações!E559,"")</f>
        <v/>
      </c>
      <c r="F559" s="7" t="str">
        <f aca="false">IF(C559="Compra",D559*E559,IF(C559="Staking",D559*E559,""))</f>
        <v/>
      </c>
      <c r="G559" s="7" t="str">
        <f aca="false">IF(C559="Venda",IF(COUNTIF(A$3:A558,A559)&gt;0,(E559-SUMPRODUCT((A$3:A558=A559)*(C$3:C558="Compra")*F$3:F558)/IF(SUMPRODUCT((A$3:A558=A559)*(C$3:C558="Compra")*D$3:D558)=0,1,SUMPRODUCT((A$3:A558=A559)*(C$3:C558="Compra")*D$3:D558)))*D559,0),"")</f>
        <v/>
      </c>
      <c r="H559" s="7" t="str">
        <f aca="false">IF(C559="Venda",E559*D559,"")</f>
        <v/>
      </c>
    </row>
    <row r="560" customFormat="false" ht="15" hidden="false" customHeight="false" outlineLevel="0" collapsed="false">
      <c r="A560" s="17" t="str">
        <f aca="false">IF(Transações!C560&lt;&gt;"",Transações!C560,"")</f>
        <v/>
      </c>
      <c r="B560" s="17" t="str">
        <f aca="false">IF(Transações!A560&lt;&gt;"",Transações!A560,"")</f>
        <v/>
      </c>
      <c r="C560" s="17" t="str">
        <f aca="false">IF(Transações!B560&lt;&gt;"",Transações!B560,"")</f>
        <v/>
      </c>
      <c r="D560" s="18" t="str">
        <f aca="false">IF(Transações!D560&lt;&gt;"",Transações!D560,"")</f>
        <v/>
      </c>
      <c r="E560" s="19" t="str">
        <f aca="false">IF(Transações!E560&lt;&gt;"",Transações!E560,"")</f>
        <v/>
      </c>
      <c r="F560" s="12" t="str">
        <f aca="false">IF(C560="Compra",D560*E560,IF(C560="Staking",D560*E560,""))</f>
        <v/>
      </c>
      <c r="G560" s="12" t="str">
        <f aca="false">IF(C560="Venda",IF(COUNTIF(A$3:A559,A560)&gt;0,(E560-SUMPRODUCT((A$3:A559=A560)*(C$3:C559="Compra")*F$3:F559)/IF(SUMPRODUCT((A$3:A559=A560)*(C$3:C559="Compra")*D$3:D559)=0,1,SUMPRODUCT((A$3:A559=A560)*(C$3:C559="Compra")*D$3:D559)))*D560,0),"")</f>
        <v/>
      </c>
      <c r="H560" s="12" t="str">
        <f aca="false">IF(C560="Venda",E560*D560,"")</f>
        <v/>
      </c>
    </row>
    <row r="561" customFormat="false" ht="15" hidden="false" customHeight="false" outlineLevel="0" collapsed="false">
      <c r="A561" s="14" t="str">
        <f aca="false">IF(Transações!C561&lt;&gt;"",Transações!C561,"")</f>
        <v/>
      </c>
      <c r="B561" s="14" t="str">
        <f aca="false">IF(Transações!A561&lt;&gt;"",Transações!A561,"")</f>
        <v/>
      </c>
      <c r="C561" s="14" t="str">
        <f aca="false">IF(Transações!B561&lt;&gt;"",Transações!B561,"")</f>
        <v/>
      </c>
      <c r="D561" s="15" t="str">
        <f aca="false">IF(Transações!D561&lt;&gt;"",Transações!D561,"")</f>
        <v/>
      </c>
      <c r="E561" s="16" t="str">
        <f aca="false">IF(Transações!E561&lt;&gt;"",Transações!E561,"")</f>
        <v/>
      </c>
      <c r="F561" s="7" t="str">
        <f aca="false">IF(C561="Compra",D561*E561,IF(C561="Staking",D561*E561,""))</f>
        <v/>
      </c>
      <c r="G561" s="7" t="str">
        <f aca="false">IF(C561="Venda",IF(COUNTIF(A$3:A560,A561)&gt;0,(E561-SUMPRODUCT((A$3:A560=A561)*(C$3:C560="Compra")*F$3:F560)/IF(SUMPRODUCT((A$3:A560=A561)*(C$3:C560="Compra")*D$3:D560)=0,1,SUMPRODUCT((A$3:A560=A561)*(C$3:C560="Compra")*D$3:D560)))*D561,0),"")</f>
        <v/>
      </c>
      <c r="H561" s="7" t="str">
        <f aca="false">IF(C561="Venda",E561*D561,"")</f>
        <v/>
      </c>
    </row>
    <row r="562" customFormat="false" ht="15" hidden="false" customHeight="false" outlineLevel="0" collapsed="false">
      <c r="A562" s="17" t="str">
        <f aca="false">IF(Transações!C562&lt;&gt;"",Transações!C562,"")</f>
        <v/>
      </c>
      <c r="B562" s="17" t="str">
        <f aca="false">IF(Transações!A562&lt;&gt;"",Transações!A562,"")</f>
        <v/>
      </c>
      <c r="C562" s="17" t="str">
        <f aca="false">IF(Transações!B562&lt;&gt;"",Transações!B562,"")</f>
        <v/>
      </c>
      <c r="D562" s="18" t="str">
        <f aca="false">IF(Transações!D562&lt;&gt;"",Transações!D562,"")</f>
        <v/>
      </c>
      <c r="E562" s="19" t="str">
        <f aca="false">IF(Transações!E562&lt;&gt;"",Transações!E562,"")</f>
        <v/>
      </c>
      <c r="F562" s="12" t="str">
        <f aca="false">IF(C562="Compra",D562*E562,IF(C562="Staking",D562*E562,""))</f>
        <v/>
      </c>
      <c r="G562" s="12" t="str">
        <f aca="false">IF(C562="Venda",IF(COUNTIF(A$3:A561,A562)&gt;0,(E562-SUMPRODUCT((A$3:A561=A562)*(C$3:C561="Compra")*F$3:F561)/IF(SUMPRODUCT((A$3:A561=A562)*(C$3:C561="Compra")*D$3:D561)=0,1,SUMPRODUCT((A$3:A561=A562)*(C$3:C561="Compra")*D$3:D561)))*D562,0),"")</f>
        <v/>
      </c>
      <c r="H562" s="12" t="str">
        <f aca="false">IF(C562="Venda",E562*D562,"")</f>
        <v/>
      </c>
    </row>
    <row r="563" customFormat="false" ht="15" hidden="false" customHeight="false" outlineLevel="0" collapsed="false">
      <c r="A563" s="14" t="str">
        <f aca="false">IF(Transações!C563&lt;&gt;"",Transações!C563,"")</f>
        <v/>
      </c>
      <c r="B563" s="14" t="str">
        <f aca="false">IF(Transações!A563&lt;&gt;"",Transações!A563,"")</f>
        <v/>
      </c>
      <c r="C563" s="14" t="str">
        <f aca="false">IF(Transações!B563&lt;&gt;"",Transações!B563,"")</f>
        <v/>
      </c>
      <c r="D563" s="15" t="str">
        <f aca="false">IF(Transações!D563&lt;&gt;"",Transações!D563,"")</f>
        <v/>
      </c>
      <c r="E563" s="16" t="str">
        <f aca="false">IF(Transações!E563&lt;&gt;"",Transações!E563,"")</f>
        <v/>
      </c>
      <c r="F563" s="7" t="str">
        <f aca="false">IF(C563="Compra",D563*E563,IF(C563="Staking",D563*E563,""))</f>
        <v/>
      </c>
      <c r="G563" s="7" t="str">
        <f aca="false">IF(C563="Venda",IF(COUNTIF(A$3:A562,A563)&gt;0,(E563-SUMPRODUCT((A$3:A562=A563)*(C$3:C562="Compra")*F$3:F562)/IF(SUMPRODUCT((A$3:A562=A563)*(C$3:C562="Compra")*D$3:D562)=0,1,SUMPRODUCT((A$3:A562=A563)*(C$3:C562="Compra")*D$3:D562)))*D563,0),"")</f>
        <v/>
      </c>
      <c r="H563" s="7" t="str">
        <f aca="false">IF(C563="Venda",E563*D563,"")</f>
        <v/>
      </c>
    </row>
    <row r="564" customFormat="false" ht="15" hidden="false" customHeight="false" outlineLevel="0" collapsed="false">
      <c r="A564" s="17" t="str">
        <f aca="false">IF(Transações!C564&lt;&gt;"",Transações!C564,"")</f>
        <v/>
      </c>
      <c r="B564" s="17" t="str">
        <f aca="false">IF(Transações!A564&lt;&gt;"",Transações!A564,"")</f>
        <v/>
      </c>
      <c r="C564" s="17" t="str">
        <f aca="false">IF(Transações!B564&lt;&gt;"",Transações!B564,"")</f>
        <v/>
      </c>
      <c r="D564" s="18" t="str">
        <f aca="false">IF(Transações!D564&lt;&gt;"",Transações!D564,"")</f>
        <v/>
      </c>
      <c r="E564" s="19" t="str">
        <f aca="false">IF(Transações!E564&lt;&gt;"",Transações!E564,"")</f>
        <v/>
      </c>
      <c r="F564" s="12" t="str">
        <f aca="false">IF(C564="Compra",D564*E564,IF(C564="Staking",D564*E564,""))</f>
        <v/>
      </c>
      <c r="G564" s="12" t="str">
        <f aca="false">IF(C564="Venda",IF(COUNTIF(A$3:A563,A564)&gt;0,(E564-SUMPRODUCT((A$3:A563=A564)*(C$3:C563="Compra")*F$3:F563)/IF(SUMPRODUCT((A$3:A563=A564)*(C$3:C563="Compra")*D$3:D563)=0,1,SUMPRODUCT((A$3:A563=A564)*(C$3:C563="Compra")*D$3:D563)))*D564,0),"")</f>
        <v/>
      </c>
      <c r="H564" s="12" t="str">
        <f aca="false">IF(C564="Venda",E564*D564,"")</f>
        <v/>
      </c>
    </row>
    <row r="565" customFormat="false" ht="15" hidden="false" customHeight="false" outlineLevel="0" collapsed="false">
      <c r="A565" s="14" t="str">
        <f aca="false">IF(Transações!C565&lt;&gt;"",Transações!C565,"")</f>
        <v/>
      </c>
      <c r="B565" s="14" t="str">
        <f aca="false">IF(Transações!A565&lt;&gt;"",Transações!A565,"")</f>
        <v/>
      </c>
      <c r="C565" s="14" t="str">
        <f aca="false">IF(Transações!B565&lt;&gt;"",Transações!B565,"")</f>
        <v/>
      </c>
      <c r="D565" s="15" t="str">
        <f aca="false">IF(Transações!D565&lt;&gt;"",Transações!D565,"")</f>
        <v/>
      </c>
      <c r="E565" s="16" t="str">
        <f aca="false">IF(Transações!E565&lt;&gt;"",Transações!E565,"")</f>
        <v/>
      </c>
      <c r="F565" s="7" t="str">
        <f aca="false">IF(C565="Compra",D565*E565,IF(C565="Staking",D565*E565,""))</f>
        <v/>
      </c>
      <c r="G565" s="7" t="str">
        <f aca="false">IF(C565="Venda",IF(COUNTIF(A$3:A564,A565)&gt;0,(E565-SUMPRODUCT((A$3:A564=A565)*(C$3:C564="Compra")*F$3:F564)/IF(SUMPRODUCT((A$3:A564=A565)*(C$3:C564="Compra")*D$3:D564)=0,1,SUMPRODUCT((A$3:A564=A565)*(C$3:C564="Compra")*D$3:D564)))*D565,0),"")</f>
        <v/>
      </c>
      <c r="H565" s="7" t="str">
        <f aca="false">IF(C565="Venda",E565*D565,"")</f>
        <v/>
      </c>
    </row>
    <row r="566" customFormat="false" ht="15" hidden="false" customHeight="false" outlineLevel="0" collapsed="false">
      <c r="A566" s="17" t="str">
        <f aca="false">IF(Transações!C566&lt;&gt;"",Transações!C566,"")</f>
        <v/>
      </c>
      <c r="B566" s="17" t="str">
        <f aca="false">IF(Transações!A566&lt;&gt;"",Transações!A566,"")</f>
        <v/>
      </c>
      <c r="C566" s="17" t="str">
        <f aca="false">IF(Transações!B566&lt;&gt;"",Transações!B566,"")</f>
        <v/>
      </c>
      <c r="D566" s="18" t="str">
        <f aca="false">IF(Transações!D566&lt;&gt;"",Transações!D566,"")</f>
        <v/>
      </c>
      <c r="E566" s="19" t="str">
        <f aca="false">IF(Transações!E566&lt;&gt;"",Transações!E566,"")</f>
        <v/>
      </c>
      <c r="F566" s="12" t="str">
        <f aca="false">IF(C566="Compra",D566*E566,IF(C566="Staking",D566*E566,""))</f>
        <v/>
      </c>
      <c r="G566" s="12" t="str">
        <f aca="false">IF(C566="Venda",IF(COUNTIF(A$3:A565,A566)&gt;0,(E566-SUMPRODUCT((A$3:A565=A566)*(C$3:C565="Compra")*F$3:F565)/IF(SUMPRODUCT((A$3:A565=A566)*(C$3:C565="Compra")*D$3:D565)=0,1,SUMPRODUCT((A$3:A565=A566)*(C$3:C565="Compra")*D$3:D565)))*D566,0),"")</f>
        <v/>
      </c>
      <c r="H566" s="12" t="str">
        <f aca="false">IF(C566="Venda",E566*D566,"")</f>
        <v/>
      </c>
    </row>
    <row r="567" customFormat="false" ht="15" hidden="false" customHeight="false" outlineLevel="0" collapsed="false">
      <c r="A567" s="14" t="str">
        <f aca="false">IF(Transações!C567&lt;&gt;"",Transações!C567,"")</f>
        <v/>
      </c>
      <c r="B567" s="14" t="str">
        <f aca="false">IF(Transações!A567&lt;&gt;"",Transações!A567,"")</f>
        <v/>
      </c>
      <c r="C567" s="14" t="str">
        <f aca="false">IF(Transações!B567&lt;&gt;"",Transações!B567,"")</f>
        <v/>
      </c>
      <c r="D567" s="15" t="str">
        <f aca="false">IF(Transações!D567&lt;&gt;"",Transações!D567,"")</f>
        <v/>
      </c>
      <c r="E567" s="16" t="str">
        <f aca="false">IF(Transações!E567&lt;&gt;"",Transações!E567,"")</f>
        <v/>
      </c>
      <c r="F567" s="7" t="str">
        <f aca="false">IF(C567="Compra",D567*E567,IF(C567="Staking",D567*E567,""))</f>
        <v/>
      </c>
      <c r="G567" s="7" t="str">
        <f aca="false">IF(C567="Venda",IF(COUNTIF(A$3:A566,A567)&gt;0,(E567-SUMPRODUCT((A$3:A566=A567)*(C$3:C566="Compra")*F$3:F566)/IF(SUMPRODUCT((A$3:A566=A567)*(C$3:C566="Compra")*D$3:D566)=0,1,SUMPRODUCT((A$3:A566=A567)*(C$3:C566="Compra")*D$3:D566)))*D567,0),"")</f>
        <v/>
      </c>
      <c r="H567" s="7" t="str">
        <f aca="false">IF(C567="Venda",E567*D567,"")</f>
        <v/>
      </c>
    </row>
    <row r="568" customFormat="false" ht="15" hidden="false" customHeight="false" outlineLevel="0" collapsed="false">
      <c r="A568" s="17" t="str">
        <f aca="false">IF(Transações!C568&lt;&gt;"",Transações!C568,"")</f>
        <v/>
      </c>
      <c r="B568" s="17" t="str">
        <f aca="false">IF(Transações!A568&lt;&gt;"",Transações!A568,"")</f>
        <v/>
      </c>
      <c r="C568" s="17" t="str">
        <f aca="false">IF(Transações!B568&lt;&gt;"",Transações!B568,"")</f>
        <v/>
      </c>
      <c r="D568" s="18" t="str">
        <f aca="false">IF(Transações!D568&lt;&gt;"",Transações!D568,"")</f>
        <v/>
      </c>
      <c r="E568" s="19" t="str">
        <f aca="false">IF(Transações!E568&lt;&gt;"",Transações!E568,"")</f>
        <v/>
      </c>
      <c r="F568" s="12" t="str">
        <f aca="false">IF(C568="Compra",D568*E568,IF(C568="Staking",D568*E568,""))</f>
        <v/>
      </c>
      <c r="G568" s="12" t="str">
        <f aca="false">IF(C568="Venda",IF(COUNTIF(A$3:A567,A568)&gt;0,(E568-SUMPRODUCT((A$3:A567=A568)*(C$3:C567="Compra")*F$3:F567)/IF(SUMPRODUCT((A$3:A567=A568)*(C$3:C567="Compra")*D$3:D567)=0,1,SUMPRODUCT((A$3:A567=A568)*(C$3:C567="Compra")*D$3:D567)))*D568,0),"")</f>
        <v/>
      </c>
      <c r="H568" s="12" t="str">
        <f aca="false">IF(C568="Venda",E568*D568,"")</f>
        <v/>
      </c>
    </row>
    <row r="569" customFormat="false" ht="15" hidden="false" customHeight="false" outlineLevel="0" collapsed="false">
      <c r="A569" s="14" t="str">
        <f aca="false">IF(Transações!C569&lt;&gt;"",Transações!C569,"")</f>
        <v/>
      </c>
      <c r="B569" s="14" t="str">
        <f aca="false">IF(Transações!A569&lt;&gt;"",Transações!A569,"")</f>
        <v/>
      </c>
      <c r="C569" s="14" t="str">
        <f aca="false">IF(Transações!B569&lt;&gt;"",Transações!B569,"")</f>
        <v/>
      </c>
      <c r="D569" s="15" t="str">
        <f aca="false">IF(Transações!D569&lt;&gt;"",Transações!D569,"")</f>
        <v/>
      </c>
      <c r="E569" s="16" t="str">
        <f aca="false">IF(Transações!E569&lt;&gt;"",Transações!E569,"")</f>
        <v/>
      </c>
      <c r="F569" s="7" t="str">
        <f aca="false">IF(C569="Compra",D569*E569,IF(C569="Staking",D569*E569,""))</f>
        <v/>
      </c>
      <c r="G569" s="7" t="str">
        <f aca="false">IF(C569="Venda",IF(COUNTIF(A$3:A568,A569)&gt;0,(E569-SUMPRODUCT((A$3:A568=A569)*(C$3:C568="Compra")*F$3:F568)/IF(SUMPRODUCT((A$3:A568=A569)*(C$3:C568="Compra")*D$3:D568)=0,1,SUMPRODUCT((A$3:A568=A569)*(C$3:C568="Compra")*D$3:D568)))*D569,0),"")</f>
        <v/>
      </c>
      <c r="H569" s="7" t="str">
        <f aca="false">IF(C569="Venda",E569*D569,"")</f>
        <v/>
      </c>
    </row>
    <row r="570" customFormat="false" ht="15" hidden="false" customHeight="false" outlineLevel="0" collapsed="false">
      <c r="A570" s="17" t="str">
        <f aca="false">IF(Transações!C570&lt;&gt;"",Transações!C570,"")</f>
        <v/>
      </c>
      <c r="B570" s="17" t="str">
        <f aca="false">IF(Transações!A570&lt;&gt;"",Transações!A570,"")</f>
        <v/>
      </c>
      <c r="C570" s="17" t="str">
        <f aca="false">IF(Transações!B570&lt;&gt;"",Transações!B570,"")</f>
        <v/>
      </c>
      <c r="D570" s="18" t="str">
        <f aca="false">IF(Transações!D570&lt;&gt;"",Transações!D570,"")</f>
        <v/>
      </c>
      <c r="E570" s="19" t="str">
        <f aca="false">IF(Transações!E570&lt;&gt;"",Transações!E570,"")</f>
        <v/>
      </c>
      <c r="F570" s="12" t="str">
        <f aca="false">IF(C570="Compra",D570*E570,IF(C570="Staking",D570*E570,""))</f>
        <v/>
      </c>
      <c r="G570" s="12" t="str">
        <f aca="false">IF(C570="Venda",IF(COUNTIF(A$3:A569,A570)&gt;0,(E570-SUMPRODUCT((A$3:A569=A570)*(C$3:C569="Compra")*F$3:F569)/IF(SUMPRODUCT((A$3:A569=A570)*(C$3:C569="Compra")*D$3:D569)=0,1,SUMPRODUCT((A$3:A569=A570)*(C$3:C569="Compra")*D$3:D569)))*D570,0),"")</f>
        <v/>
      </c>
      <c r="H570" s="12" t="str">
        <f aca="false">IF(C570="Venda",E570*D570,"")</f>
        <v/>
      </c>
    </row>
    <row r="571" customFormat="false" ht="15" hidden="false" customHeight="false" outlineLevel="0" collapsed="false">
      <c r="A571" s="14" t="str">
        <f aca="false">IF(Transações!C571&lt;&gt;"",Transações!C571,"")</f>
        <v/>
      </c>
      <c r="B571" s="14" t="str">
        <f aca="false">IF(Transações!A571&lt;&gt;"",Transações!A571,"")</f>
        <v/>
      </c>
      <c r="C571" s="14" t="str">
        <f aca="false">IF(Transações!B571&lt;&gt;"",Transações!B571,"")</f>
        <v/>
      </c>
      <c r="D571" s="15" t="str">
        <f aca="false">IF(Transações!D571&lt;&gt;"",Transações!D571,"")</f>
        <v/>
      </c>
      <c r="E571" s="16" t="str">
        <f aca="false">IF(Transações!E571&lt;&gt;"",Transações!E571,"")</f>
        <v/>
      </c>
      <c r="F571" s="7" t="str">
        <f aca="false">IF(C571="Compra",D571*E571,IF(C571="Staking",D571*E571,""))</f>
        <v/>
      </c>
      <c r="G571" s="7" t="str">
        <f aca="false">IF(C571="Venda",IF(COUNTIF(A$3:A570,A571)&gt;0,(E571-SUMPRODUCT((A$3:A570=A571)*(C$3:C570="Compra")*F$3:F570)/IF(SUMPRODUCT((A$3:A570=A571)*(C$3:C570="Compra")*D$3:D570)=0,1,SUMPRODUCT((A$3:A570=A571)*(C$3:C570="Compra")*D$3:D570)))*D571,0),"")</f>
        <v/>
      </c>
      <c r="H571" s="7" t="str">
        <f aca="false">IF(C571="Venda",E571*D571,"")</f>
        <v/>
      </c>
    </row>
    <row r="572" customFormat="false" ht="15" hidden="false" customHeight="false" outlineLevel="0" collapsed="false">
      <c r="A572" s="17" t="str">
        <f aca="false">IF(Transações!C572&lt;&gt;"",Transações!C572,"")</f>
        <v/>
      </c>
      <c r="B572" s="17" t="str">
        <f aca="false">IF(Transações!A572&lt;&gt;"",Transações!A572,"")</f>
        <v/>
      </c>
      <c r="C572" s="17" t="str">
        <f aca="false">IF(Transações!B572&lt;&gt;"",Transações!B572,"")</f>
        <v/>
      </c>
      <c r="D572" s="18" t="str">
        <f aca="false">IF(Transações!D572&lt;&gt;"",Transações!D572,"")</f>
        <v/>
      </c>
      <c r="E572" s="19" t="str">
        <f aca="false">IF(Transações!E572&lt;&gt;"",Transações!E572,"")</f>
        <v/>
      </c>
      <c r="F572" s="12" t="str">
        <f aca="false">IF(C572="Compra",D572*E572,IF(C572="Staking",D572*E572,""))</f>
        <v/>
      </c>
      <c r="G572" s="12" t="str">
        <f aca="false">IF(C572="Venda",IF(COUNTIF(A$3:A571,A572)&gt;0,(E572-SUMPRODUCT((A$3:A571=A572)*(C$3:C571="Compra")*F$3:F571)/IF(SUMPRODUCT((A$3:A571=A572)*(C$3:C571="Compra")*D$3:D571)=0,1,SUMPRODUCT((A$3:A571=A572)*(C$3:C571="Compra")*D$3:D571)))*D572,0),"")</f>
        <v/>
      </c>
      <c r="H572" s="12" t="str">
        <f aca="false">IF(C572="Venda",E572*D572,"")</f>
        <v/>
      </c>
    </row>
    <row r="573" customFormat="false" ht="15" hidden="false" customHeight="false" outlineLevel="0" collapsed="false">
      <c r="A573" s="14" t="str">
        <f aca="false">IF(Transações!C573&lt;&gt;"",Transações!C573,"")</f>
        <v/>
      </c>
      <c r="B573" s="14" t="str">
        <f aca="false">IF(Transações!A573&lt;&gt;"",Transações!A573,"")</f>
        <v/>
      </c>
      <c r="C573" s="14" t="str">
        <f aca="false">IF(Transações!B573&lt;&gt;"",Transações!B573,"")</f>
        <v/>
      </c>
      <c r="D573" s="15" t="str">
        <f aca="false">IF(Transações!D573&lt;&gt;"",Transações!D573,"")</f>
        <v/>
      </c>
      <c r="E573" s="16" t="str">
        <f aca="false">IF(Transações!E573&lt;&gt;"",Transações!E573,"")</f>
        <v/>
      </c>
      <c r="F573" s="7" t="str">
        <f aca="false">IF(C573="Compra",D573*E573,IF(C573="Staking",D573*E573,""))</f>
        <v/>
      </c>
      <c r="G573" s="7" t="str">
        <f aca="false">IF(C573="Venda",IF(COUNTIF(A$3:A572,A573)&gt;0,(E573-SUMPRODUCT((A$3:A572=A573)*(C$3:C572="Compra")*F$3:F572)/IF(SUMPRODUCT((A$3:A572=A573)*(C$3:C572="Compra")*D$3:D572)=0,1,SUMPRODUCT((A$3:A572=A573)*(C$3:C572="Compra")*D$3:D572)))*D573,0),"")</f>
        <v/>
      </c>
      <c r="H573" s="7" t="str">
        <f aca="false">IF(C573="Venda",E573*D573,"")</f>
        <v/>
      </c>
    </row>
    <row r="574" customFormat="false" ht="15" hidden="false" customHeight="false" outlineLevel="0" collapsed="false">
      <c r="A574" s="17" t="str">
        <f aca="false">IF(Transações!C574&lt;&gt;"",Transações!C574,"")</f>
        <v/>
      </c>
      <c r="B574" s="17" t="str">
        <f aca="false">IF(Transações!A574&lt;&gt;"",Transações!A574,"")</f>
        <v/>
      </c>
      <c r="C574" s="17" t="str">
        <f aca="false">IF(Transações!B574&lt;&gt;"",Transações!B574,"")</f>
        <v/>
      </c>
      <c r="D574" s="18" t="str">
        <f aca="false">IF(Transações!D574&lt;&gt;"",Transações!D574,"")</f>
        <v/>
      </c>
      <c r="E574" s="19" t="str">
        <f aca="false">IF(Transações!E574&lt;&gt;"",Transações!E574,"")</f>
        <v/>
      </c>
      <c r="F574" s="12" t="str">
        <f aca="false">IF(C574="Compra",D574*E574,IF(C574="Staking",D574*E574,""))</f>
        <v/>
      </c>
      <c r="G574" s="12" t="str">
        <f aca="false">IF(C574="Venda",IF(COUNTIF(A$3:A573,A574)&gt;0,(E574-SUMPRODUCT((A$3:A573=A574)*(C$3:C573="Compra")*F$3:F573)/IF(SUMPRODUCT((A$3:A573=A574)*(C$3:C573="Compra")*D$3:D573)=0,1,SUMPRODUCT((A$3:A573=A574)*(C$3:C573="Compra")*D$3:D573)))*D574,0),"")</f>
        <v/>
      </c>
      <c r="H574" s="12" t="str">
        <f aca="false">IF(C574="Venda",E574*D574,"")</f>
        <v/>
      </c>
    </row>
    <row r="575" customFormat="false" ht="15" hidden="false" customHeight="false" outlineLevel="0" collapsed="false">
      <c r="A575" s="14" t="str">
        <f aca="false">IF(Transações!C575&lt;&gt;"",Transações!C575,"")</f>
        <v/>
      </c>
      <c r="B575" s="14" t="str">
        <f aca="false">IF(Transações!A575&lt;&gt;"",Transações!A575,"")</f>
        <v/>
      </c>
      <c r="C575" s="14" t="str">
        <f aca="false">IF(Transações!B575&lt;&gt;"",Transações!B575,"")</f>
        <v/>
      </c>
      <c r="D575" s="15" t="str">
        <f aca="false">IF(Transações!D575&lt;&gt;"",Transações!D575,"")</f>
        <v/>
      </c>
      <c r="E575" s="16" t="str">
        <f aca="false">IF(Transações!E575&lt;&gt;"",Transações!E575,"")</f>
        <v/>
      </c>
      <c r="F575" s="7" t="str">
        <f aca="false">IF(C575="Compra",D575*E575,IF(C575="Staking",D575*E575,""))</f>
        <v/>
      </c>
      <c r="G575" s="7" t="str">
        <f aca="false">IF(C575="Venda",IF(COUNTIF(A$3:A574,A575)&gt;0,(E575-SUMPRODUCT((A$3:A574=A575)*(C$3:C574="Compra")*F$3:F574)/IF(SUMPRODUCT((A$3:A574=A575)*(C$3:C574="Compra")*D$3:D574)=0,1,SUMPRODUCT((A$3:A574=A575)*(C$3:C574="Compra")*D$3:D574)))*D575,0),"")</f>
        <v/>
      </c>
      <c r="H575" s="7" t="str">
        <f aca="false">IF(C575="Venda",E575*D575,"")</f>
        <v/>
      </c>
    </row>
    <row r="576" customFormat="false" ht="15" hidden="false" customHeight="false" outlineLevel="0" collapsed="false">
      <c r="A576" s="17" t="str">
        <f aca="false">IF(Transações!C576&lt;&gt;"",Transações!C576,"")</f>
        <v/>
      </c>
      <c r="B576" s="17" t="str">
        <f aca="false">IF(Transações!A576&lt;&gt;"",Transações!A576,"")</f>
        <v/>
      </c>
      <c r="C576" s="17" t="str">
        <f aca="false">IF(Transações!B576&lt;&gt;"",Transações!B576,"")</f>
        <v/>
      </c>
      <c r="D576" s="18" t="str">
        <f aca="false">IF(Transações!D576&lt;&gt;"",Transações!D576,"")</f>
        <v/>
      </c>
      <c r="E576" s="19" t="str">
        <f aca="false">IF(Transações!E576&lt;&gt;"",Transações!E576,"")</f>
        <v/>
      </c>
      <c r="F576" s="12" t="str">
        <f aca="false">IF(C576="Compra",D576*E576,IF(C576="Staking",D576*E576,""))</f>
        <v/>
      </c>
      <c r="G576" s="12" t="str">
        <f aca="false">IF(C576="Venda",IF(COUNTIF(A$3:A575,A576)&gt;0,(E576-SUMPRODUCT((A$3:A575=A576)*(C$3:C575="Compra")*F$3:F575)/IF(SUMPRODUCT((A$3:A575=A576)*(C$3:C575="Compra")*D$3:D575)=0,1,SUMPRODUCT((A$3:A575=A576)*(C$3:C575="Compra")*D$3:D575)))*D576,0),"")</f>
        <v/>
      </c>
      <c r="H576" s="12" t="str">
        <f aca="false">IF(C576="Venda",E576*D576,"")</f>
        <v/>
      </c>
    </row>
    <row r="577" customFormat="false" ht="15" hidden="false" customHeight="false" outlineLevel="0" collapsed="false">
      <c r="A577" s="14" t="str">
        <f aca="false">IF(Transações!C577&lt;&gt;"",Transações!C577,"")</f>
        <v/>
      </c>
      <c r="B577" s="14" t="str">
        <f aca="false">IF(Transações!A577&lt;&gt;"",Transações!A577,"")</f>
        <v/>
      </c>
      <c r="C577" s="14" t="str">
        <f aca="false">IF(Transações!B577&lt;&gt;"",Transações!B577,"")</f>
        <v/>
      </c>
      <c r="D577" s="15" t="str">
        <f aca="false">IF(Transações!D577&lt;&gt;"",Transações!D577,"")</f>
        <v/>
      </c>
      <c r="E577" s="16" t="str">
        <f aca="false">IF(Transações!E577&lt;&gt;"",Transações!E577,"")</f>
        <v/>
      </c>
      <c r="F577" s="7" t="str">
        <f aca="false">IF(C577="Compra",D577*E577,IF(C577="Staking",D577*E577,""))</f>
        <v/>
      </c>
      <c r="G577" s="7" t="str">
        <f aca="false">IF(C577="Venda",IF(COUNTIF(A$3:A576,A577)&gt;0,(E577-SUMPRODUCT((A$3:A576=A577)*(C$3:C576="Compra")*F$3:F576)/IF(SUMPRODUCT((A$3:A576=A577)*(C$3:C576="Compra")*D$3:D576)=0,1,SUMPRODUCT((A$3:A576=A577)*(C$3:C576="Compra")*D$3:D576)))*D577,0),"")</f>
        <v/>
      </c>
      <c r="H577" s="7" t="str">
        <f aca="false">IF(C577="Venda",E577*D577,"")</f>
        <v/>
      </c>
    </row>
    <row r="578" customFormat="false" ht="15" hidden="false" customHeight="false" outlineLevel="0" collapsed="false">
      <c r="A578" s="17" t="str">
        <f aca="false">IF(Transações!C578&lt;&gt;"",Transações!C578,"")</f>
        <v/>
      </c>
      <c r="B578" s="17" t="str">
        <f aca="false">IF(Transações!A578&lt;&gt;"",Transações!A578,"")</f>
        <v/>
      </c>
      <c r="C578" s="17" t="str">
        <f aca="false">IF(Transações!B578&lt;&gt;"",Transações!B578,"")</f>
        <v/>
      </c>
      <c r="D578" s="18" t="str">
        <f aca="false">IF(Transações!D578&lt;&gt;"",Transações!D578,"")</f>
        <v/>
      </c>
      <c r="E578" s="19" t="str">
        <f aca="false">IF(Transações!E578&lt;&gt;"",Transações!E578,"")</f>
        <v/>
      </c>
      <c r="F578" s="12" t="str">
        <f aca="false">IF(C578="Compra",D578*E578,IF(C578="Staking",D578*E578,""))</f>
        <v/>
      </c>
      <c r="G578" s="12" t="str">
        <f aca="false">IF(C578="Venda",IF(COUNTIF(A$3:A577,A578)&gt;0,(E578-SUMPRODUCT((A$3:A577=A578)*(C$3:C577="Compra")*F$3:F577)/IF(SUMPRODUCT((A$3:A577=A578)*(C$3:C577="Compra")*D$3:D577)=0,1,SUMPRODUCT((A$3:A577=A578)*(C$3:C577="Compra")*D$3:D577)))*D578,0),"")</f>
        <v/>
      </c>
      <c r="H578" s="12" t="str">
        <f aca="false">IF(C578="Venda",E578*D578,"")</f>
        <v/>
      </c>
    </row>
    <row r="579" customFormat="false" ht="15" hidden="false" customHeight="false" outlineLevel="0" collapsed="false">
      <c r="A579" s="14" t="str">
        <f aca="false">IF(Transações!C579&lt;&gt;"",Transações!C579,"")</f>
        <v/>
      </c>
      <c r="B579" s="14" t="str">
        <f aca="false">IF(Transações!A579&lt;&gt;"",Transações!A579,"")</f>
        <v/>
      </c>
      <c r="C579" s="14" t="str">
        <f aca="false">IF(Transações!B579&lt;&gt;"",Transações!B579,"")</f>
        <v/>
      </c>
      <c r="D579" s="15" t="str">
        <f aca="false">IF(Transações!D579&lt;&gt;"",Transações!D579,"")</f>
        <v/>
      </c>
      <c r="E579" s="16" t="str">
        <f aca="false">IF(Transações!E579&lt;&gt;"",Transações!E579,"")</f>
        <v/>
      </c>
      <c r="F579" s="7" t="str">
        <f aca="false">IF(C579="Compra",D579*E579,IF(C579="Staking",D579*E579,""))</f>
        <v/>
      </c>
      <c r="G579" s="7" t="str">
        <f aca="false">IF(C579="Venda",IF(COUNTIF(A$3:A578,A579)&gt;0,(E579-SUMPRODUCT((A$3:A578=A579)*(C$3:C578="Compra")*F$3:F578)/IF(SUMPRODUCT((A$3:A578=A579)*(C$3:C578="Compra")*D$3:D578)=0,1,SUMPRODUCT((A$3:A578=A579)*(C$3:C578="Compra")*D$3:D578)))*D579,0),"")</f>
        <v/>
      </c>
      <c r="H579" s="7" t="str">
        <f aca="false">IF(C579="Venda",E579*D579,"")</f>
        <v/>
      </c>
    </row>
    <row r="580" customFormat="false" ht="15" hidden="false" customHeight="false" outlineLevel="0" collapsed="false">
      <c r="A580" s="17" t="str">
        <f aca="false">IF(Transações!C580&lt;&gt;"",Transações!C580,"")</f>
        <v/>
      </c>
      <c r="B580" s="17" t="str">
        <f aca="false">IF(Transações!A580&lt;&gt;"",Transações!A580,"")</f>
        <v/>
      </c>
      <c r="C580" s="17" t="str">
        <f aca="false">IF(Transações!B580&lt;&gt;"",Transações!B580,"")</f>
        <v/>
      </c>
      <c r="D580" s="18" t="str">
        <f aca="false">IF(Transações!D580&lt;&gt;"",Transações!D580,"")</f>
        <v/>
      </c>
      <c r="E580" s="19" t="str">
        <f aca="false">IF(Transações!E580&lt;&gt;"",Transações!E580,"")</f>
        <v/>
      </c>
      <c r="F580" s="12" t="str">
        <f aca="false">IF(C580="Compra",D580*E580,IF(C580="Staking",D580*E580,""))</f>
        <v/>
      </c>
      <c r="G580" s="12" t="str">
        <f aca="false">IF(C580="Venda",IF(COUNTIF(A$3:A579,A580)&gt;0,(E580-SUMPRODUCT((A$3:A579=A580)*(C$3:C579="Compra")*F$3:F579)/IF(SUMPRODUCT((A$3:A579=A580)*(C$3:C579="Compra")*D$3:D579)=0,1,SUMPRODUCT((A$3:A579=A580)*(C$3:C579="Compra")*D$3:D579)))*D580,0),"")</f>
        <v/>
      </c>
      <c r="H580" s="12" t="str">
        <f aca="false">IF(C580="Venda",E580*D580,"")</f>
        <v/>
      </c>
    </row>
    <row r="581" customFormat="false" ht="15" hidden="false" customHeight="false" outlineLevel="0" collapsed="false">
      <c r="A581" s="14" t="str">
        <f aca="false">IF(Transações!C581&lt;&gt;"",Transações!C581,"")</f>
        <v/>
      </c>
      <c r="B581" s="14" t="str">
        <f aca="false">IF(Transações!A581&lt;&gt;"",Transações!A581,"")</f>
        <v/>
      </c>
      <c r="C581" s="14" t="str">
        <f aca="false">IF(Transações!B581&lt;&gt;"",Transações!B581,"")</f>
        <v/>
      </c>
      <c r="D581" s="15" t="str">
        <f aca="false">IF(Transações!D581&lt;&gt;"",Transações!D581,"")</f>
        <v/>
      </c>
      <c r="E581" s="16" t="str">
        <f aca="false">IF(Transações!E581&lt;&gt;"",Transações!E581,"")</f>
        <v/>
      </c>
      <c r="F581" s="7" t="str">
        <f aca="false">IF(C581="Compra",D581*E581,IF(C581="Staking",D581*E581,""))</f>
        <v/>
      </c>
      <c r="G581" s="7" t="str">
        <f aca="false">IF(C581="Venda",IF(COUNTIF(A$3:A580,A581)&gt;0,(E581-SUMPRODUCT((A$3:A580=A581)*(C$3:C580="Compra")*F$3:F580)/IF(SUMPRODUCT((A$3:A580=A581)*(C$3:C580="Compra")*D$3:D580)=0,1,SUMPRODUCT((A$3:A580=A581)*(C$3:C580="Compra")*D$3:D580)))*D581,0),"")</f>
        <v/>
      </c>
      <c r="H581" s="7" t="str">
        <f aca="false">IF(C581="Venda",E581*D581,"")</f>
        <v/>
      </c>
    </row>
    <row r="582" customFormat="false" ht="15" hidden="false" customHeight="false" outlineLevel="0" collapsed="false">
      <c r="A582" s="17" t="str">
        <f aca="false">IF(Transações!C582&lt;&gt;"",Transações!C582,"")</f>
        <v/>
      </c>
      <c r="B582" s="17" t="str">
        <f aca="false">IF(Transações!A582&lt;&gt;"",Transações!A582,"")</f>
        <v/>
      </c>
      <c r="C582" s="17" t="str">
        <f aca="false">IF(Transações!B582&lt;&gt;"",Transações!B582,"")</f>
        <v/>
      </c>
      <c r="D582" s="18" t="str">
        <f aca="false">IF(Transações!D582&lt;&gt;"",Transações!D582,"")</f>
        <v/>
      </c>
      <c r="E582" s="19" t="str">
        <f aca="false">IF(Transações!E582&lt;&gt;"",Transações!E582,"")</f>
        <v/>
      </c>
      <c r="F582" s="12" t="str">
        <f aca="false">IF(C582="Compra",D582*E582,IF(C582="Staking",D582*E582,""))</f>
        <v/>
      </c>
      <c r="G582" s="12" t="str">
        <f aca="false">IF(C582="Venda",IF(COUNTIF(A$3:A581,A582)&gt;0,(E582-SUMPRODUCT((A$3:A581=A582)*(C$3:C581="Compra")*F$3:F581)/IF(SUMPRODUCT((A$3:A581=A582)*(C$3:C581="Compra")*D$3:D581)=0,1,SUMPRODUCT((A$3:A581=A582)*(C$3:C581="Compra")*D$3:D581)))*D582,0),"")</f>
        <v/>
      </c>
      <c r="H582" s="12" t="str">
        <f aca="false">IF(C582="Venda",E582*D582,"")</f>
        <v/>
      </c>
    </row>
    <row r="583" customFormat="false" ht="15" hidden="false" customHeight="false" outlineLevel="0" collapsed="false">
      <c r="A583" s="14" t="str">
        <f aca="false">IF(Transações!C583&lt;&gt;"",Transações!C583,"")</f>
        <v/>
      </c>
      <c r="B583" s="14" t="str">
        <f aca="false">IF(Transações!A583&lt;&gt;"",Transações!A583,"")</f>
        <v/>
      </c>
      <c r="C583" s="14" t="str">
        <f aca="false">IF(Transações!B583&lt;&gt;"",Transações!B583,"")</f>
        <v/>
      </c>
      <c r="D583" s="15" t="str">
        <f aca="false">IF(Transações!D583&lt;&gt;"",Transações!D583,"")</f>
        <v/>
      </c>
      <c r="E583" s="16" t="str">
        <f aca="false">IF(Transações!E583&lt;&gt;"",Transações!E583,"")</f>
        <v/>
      </c>
      <c r="F583" s="7" t="str">
        <f aca="false">IF(C583="Compra",D583*E583,IF(C583="Staking",D583*E583,""))</f>
        <v/>
      </c>
      <c r="G583" s="7" t="str">
        <f aca="false">IF(C583="Venda",IF(COUNTIF(A$3:A582,A583)&gt;0,(E583-SUMPRODUCT((A$3:A582=A583)*(C$3:C582="Compra")*F$3:F582)/IF(SUMPRODUCT((A$3:A582=A583)*(C$3:C582="Compra")*D$3:D582)=0,1,SUMPRODUCT((A$3:A582=A583)*(C$3:C582="Compra")*D$3:D582)))*D583,0),"")</f>
        <v/>
      </c>
      <c r="H583" s="7" t="str">
        <f aca="false">IF(C583="Venda",E583*D583,"")</f>
        <v/>
      </c>
    </row>
    <row r="584" customFormat="false" ht="15" hidden="false" customHeight="false" outlineLevel="0" collapsed="false">
      <c r="A584" s="17" t="str">
        <f aca="false">IF(Transações!C584&lt;&gt;"",Transações!C584,"")</f>
        <v/>
      </c>
      <c r="B584" s="17" t="str">
        <f aca="false">IF(Transações!A584&lt;&gt;"",Transações!A584,"")</f>
        <v/>
      </c>
      <c r="C584" s="17" t="str">
        <f aca="false">IF(Transações!B584&lt;&gt;"",Transações!B584,"")</f>
        <v/>
      </c>
      <c r="D584" s="18" t="str">
        <f aca="false">IF(Transações!D584&lt;&gt;"",Transações!D584,"")</f>
        <v/>
      </c>
      <c r="E584" s="19" t="str">
        <f aca="false">IF(Transações!E584&lt;&gt;"",Transações!E584,"")</f>
        <v/>
      </c>
      <c r="F584" s="12" t="str">
        <f aca="false">IF(C584="Compra",D584*E584,IF(C584="Staking",D584*E584,""))</f>
        <v/>
      </c>
      <c r="G584" s="12" t="str">
        <f aca="false">IF(C584="Venda",IF(COUNTIF(A$3:A583,A584)&gt;0,(E584-SUMPRODUCT((A$3:A583=A584)*(C$3:C583="Compra")*F$3:F583)/IF(SUMPRODUCT((A$3:A583=A584)*(C$3:C583="Compra")*D$3:D583)=0,1,SUMPRODUCT((A$3:A583=A584)*(C$3:C583="Compra")*D$3:D583)))*D584,0),"")</f>
        <v/>
      </c>
      <c r="H584" s="12" t="str">
        <f aca="false">IF(C584="Venda",E584*D584,"")</f>
        <v/>
      </c>
    </row>
    <row r="585" customFormat="false" ht="15" hidden="false" customHeight="false" outlineLevel="0" collapsed="false">
      <c r="A585" s="14" t="str">
        <f aca="false">IF(Transações!C585&lt;&gt;"",Transações!C585,"")</f>
        <v/>
      </c>
      <c r="B585" s="14" t="str">
        <f aca="false">IF(Transações!A585&lt;&gt;"",Transações!A585,"")</f>
        <v/>
      </c>
      <c r="C585" s="14" t="str">
        <f aca="false">IF(Transações!B585&lt;&gt;"",Transações!B585,"")</f>
        <v/>
      </c>
      <c r="D585" s="15" t="str">
        <f aca="false">IF(Transações!D585&lt;&gt;"",Transações!D585,"")</f>
        <v/>
      </c>
      <c r="E585" s="16" t="str">
        <f aca="false">IF(Transações!E585&lt;&gt;"",Transações!E585,"")</f>
        <v/>
      </c>
      <c r="F585" s="7" t="str">
        <f aca="false">IF(C585="Compra",D585*E585,IF(C585="Staking",D585*E585,""))</f>
        <v/>
      </c>
      <c r="G585" s="7" t="str">
        <f aca="false">IF(C585="Venda",IF(COUNTIF(A$3:A584,A585)&gt;0,(E585-SUMPRODUCT((A$3:A584=A585)*(C$3:C584="Compra")*F$3:F584)/IF(SUMPRODUCT((A$3:A584=A585)*(C$3:C584="Compra")*D$3:D584)=0,1,SUMPRODUCT((A$3:A584=A585)*(C$3:C584="Compra")*D$3:D584)))*D585,0),"")</f>
        <v/>
      </c>
      <c r="H585" s="7" t="str">
        <f aca="false">IF(C585="Venda",E585*D585,"")</f>
        <v/>
      </c>
    </row>
    <row r="586" customFormat="false" ht="15" hidden="false" customHeight="false" outlineLevel="0" collapsed="false">
      <c r="A586" s="17" t="str">
        <f aca="false">IF(Transações!C586&lt;&gt;"",Transações!C586,"")</f>
        <v/>
      </c>
      <c r="B586" s="17" t="str">
        <f aca="false">IF(Transações!A586&lt;&gt;"",Transações!A586,"")</f>
        <v/>
      </c>
      <c r="C586" s="17" t="str">
        <f aca="false">IF(Transações!B586&lt;&gt;"",Transações!B586,"")</f>
        <v/>
      </c>
      <c r="D586" s="18" t="str">
        <f aca="false">IF(Transações!D586&lt;&gt;"",Transações!D586,"")</f>
        <v/>
      </c>
      <c r="E586" s="19" t="str">
        <f aca="false">IF(Transações!E586&lt;&gt;"",Transações!E586,"")</f>
        <v/>
      </c>
      <c r="F586" s="12" t="str">
        <f aca="false">IF(C586="Compra",D586*E586,IF(C586="Staking",D586*E586,""))</f>
        <v/>
      </c>
      <c r="G586" s="12" t="str">
        <f aca="false">IF(C586="Venda",IF(COUNTIF(A$3:A585,A586)&gt;0,(E586-SUMPRODUCT((A$3:A585=A586)*(C$3:C585="Compra")*F$3:F585)/IF(SUMPRODUCT((A$3:A585=A586)*(C$3:C585="Compra")*D$3:D585)=0,1,SUMPRODUCT((A$3:A585=A586)*(C$3:C585="Compra")*D$3:D585)))*D586,0),"")</f>
        <v/>
      </c>
      <c r="H586" s="12" t="str">
        <f aca="false">IF(C586="Venda",E586*D586,"")</f>
        <v/>
      </c>
    </row>
    <row r="587" customFormat="false" ht="15" hidden="false" customHeight="false" outlineLevel="0" collapsed="false">
      <c r="A587" s="14" t="str">
        <f aca="false">IF(Transações!C587&lt;&gt;"",Transações!C587,"")</f>
        <v/>
      </c>
      <c r="B587" s="14" t="str">
        <f aca="false">IF(Transações!A587&lt;&gt;"",Transações!A587,"")</f>
        <v/>
      </c>
      <c r="C587" s="14" t="str">
        <f aca="false">IF(Transações!B587&lt;&gt;"",Transações!B587,"")</f>
        <v/>
      </c>
      <c r="D587" s="15" t="str">
        <f aca="false">IF(Transações!D587&lt;&gt;"",Transações!D587,"")</f>
        <v/>
      </c>
      <c r="E587" s="16" t="str">
        <f aca="false">IF(Transações!E587&lt;&gt;"",Transações!E587,"")</f>
        <v/>
      </c>
      <c r="F587" s="7" t="str">
        <f aca="false">IF(C587="Compra",D587*E587,IF(C587="Staking",D587*E587,""))</f>
        <v/>
      </c>
      <c r="G587" s="7" t="str">
        <f aca="false">IF(C587="Venda",IF(COUNTIF(A$3:A586,A587)&gt;0,(E587-SUMPRODUCT((A$3:A586=A587)*(C$3:C586="Compra")*F$3:F586)/IF(SUMPRODUCT((A$3:A586=A587)*(C$3:C586="Compra")*D$3:D586)=0,1,SUMPRODUCT((A$3:A586=A587)*(C$3:C586="Compra")*D$3:D586)))*D587,0),"")</f>
        <v/>
      </c>
      <c r="H587" s="7" t="str">
        <f aca="false">IF(C587="Venda",E587*D587,"")</f>
        <v/>
      </c>
    </row>
    <row r="588" customFormat="false" ht="15" hidden="false" customHeight="false" outlineLevel="0" collapsed="false">
      <c r="A588" s="17" t="str">
        <f aca="false">IF(Transações!C588&lt;&gt;"",Transações!C588,"")</f>
        <v/>
      </c>
      <c r="B588" s="17" t="str">
        <f aca="false">IF(Transações!A588&lt;&gt;"",Transações!A588,"")</f>
        <v/>
      </c>
      <c r="C588" s="17" t="str">
        <f aca="false">IF(Transações!B588&lt;&gt;"",Transações!B588,"")</f>
        <v/>
      </c>
      <c r="D588" s="18" t="str">
        <f aca="false">IF(Transações!D588&lt;&gt;"",Transações!D588,"")</f>
        <v/>
      </c>
      <c r="E588" s="19" t="str">
        <f aca="false">IF(Transações!E588&lt;&gt;"",Transações!E588,"")</f>
        <v/>
      </c>
      <c r="F588" s="12" t="str">
        <f aca="false">IF(C588="Compra",D588*E588,IF(C588="Staking",D588*E588,""))</f>
        <v/>
      </c>
      <c r="G588" s="12" t="str">
        <f aca="false">IF(C588="Venda",IF(COUNTIF(A$3:A587,A588)&gt;0,(E588-SUMPRODUCT((A$3:A587=A588)*(C$3:C587="Compra")*F$3:F587)/IF(SUMPRODUCT((A$3:A587=A588)*(C$3:C587="Compra")*D$3:D587)=0,1,SUMPRODUCT((A$3:A587=A588)*(C$3:C587="Compra")*D$3:D587)))*D588,0),"")</f>
        <v/>
      </c>
      <c r="H588" s="12" t="str">
        <f aca="false">IF(C588="Venda",E588*D588,"")</f>
        <v/>
      </c>
    </row>
    <row r="589" customFormat="false" ht="15" hidden="false" customHeight="false" outlineLevel="0" collapsed="false">
      <c r="A589" s="14" t="str">
        <f aca="false">IF(Transações!C589&lt;&gt;"",Transações!C589,"")</f>
        <v/>
      </c>
      <c r="B589" s="14" t="str">
        <f aca="false">IF(Transações!A589&lt;&gt;"",Transações!A589,"")</f>
        <v/>
      </c>
      <c r="C589" s="14" t="str">
        <f aca="false">IF(Transações!B589&lt;&gt;"",Transações!B589,"")</f>
        <v/>
      </c>
      <c r="D589" s="15" t="str">
        <f aca="false">IF(Transações!D589&lt;&gt;"",Transações!D589,"")</f>
        <v/>
      </c>
      <c r="E589" s="16" t="str">
        <f aca="false">IF(Transações!E589&lt;&gt;"",Transações!E589,"")</f>
        <v/>
      </c>
      <c r="F589" s="7" t="str">
        <f aca="false">IF(C589="Compra",D589*E589,IF(C589="Staking",D589*E589,""))</f>
        <v/>
      </c>
      <c r="G589" s="7" t="str">
        <f aca="false">IF(C589="Venda",IF(COUNTIF(A$3:A588,A589)&gt;0,(E589-SUMPRODUCT((A$3:A588=A589)*(C$3:C588="Compra")*F$3:F588)/IF(SUMPRODUCT((A$3:A588=A589)*(C$3:C588="Compra")*D$3:D588)=0,1,SUMPRODUCT((A$3:A588=A589)*(C$3:C588="Compra")*D$3:D588)))*D589,0),"")</f>
        <v/>
      </c>
      <c r="H589" s="7" t="str">
        <f aca="false">IF(C589="Venda",E589*D589,"")</f>
        <v/>
      </c>
    </row>
    <row r="590" customFormat="false" ht="15" hidden="false" customHeight="false" outlineLevel="0" collapsed="false">
      <c r="A590" s="17" t="str">
        <f aca="false">IF(Transações!C590&lt;&gt;"",Transações!C590,"")</f>
        <v/>
      </c>
      <c r="B590" s="17" t="str">
        <f aca="false">IF(Transações!A590&lt;&gt;"",Transações!A590,"")</f>
        <v/>
      </c>
      <c r="C590" s="17" t="str">
        <f aca="false">IF(Transações!B590&lt;&gt;"",Transações!B590,"")</f>
        <v/>
      </c>
      <c r="D590" s="18" t="str">
        <f aca="false">IF(Transações!D590&lt;&gt;"",Transações!D590,"")</f>
        <v/>
      </c>
      <c r="E590" s="19" t="str">
        <f aca="false">IF(Transações!E590&lt;&gt;"",Transações!E590,"")</f>
        <v/>
      </c>
      <c r="F590" s="12" t="str">
        <f aca="false">IF(C590="Compra",D590*E590,IF(C590="Staking",D590*E590,""))</f>
        <v/>
      </c>
      <c r="G590" s="12" t="str">
        <f aca="false">IF(C590="Venda",IF(COUNTIF(A$3:A589,A590)&gt;0,(E590-SUMPRODUCT((A$3:A589=A590)*(C$3:C589="Compra")*F$3:F589)/IF(SUMPRODUCT((A$3:A589=A590)*(C$3:C589="Compra")*D$3:D589)=0,1,SUMPRODUCT((A$3:A589=A590)*(C$3:C589="Compra")*D$3:D589)))*D590,0),"")</f>
        <v/>
      </c>
      <c r="H590" s="12" t="str">
        <f aca="false">IF(C590="Venda",E590*D590,"")</f>
        <v/>
      </c>
    </row>
    <row r="591" customFormat="false" ht="15" hidden="false" customHeight="false" outlineLevel="0" collapsed="false">
      <c r="A591" s="14" t="str">
        <f aca="false">IF(Transações!C591&lt;&gt;"",Transações!C591,"")</f>
        <v/>
      </c>
      <c r="B591" s="14" t="str">
        <f aca="false">IF(Transações!A591&lt;&gt;"",Transações!A591,"")</f>
        <v/>
      </c>
      <c r="C591" s="14" t="str">
        <f aca="false">IF(Transações!B591&lt;&gt;"",Transações!B591,"")</f>
        <v/>
      </c>
      <c r="D591" s="15" t="str">
        <f aca="false">IF(Transações!D591&lt;&gt;"",Transações!D591,"")</f>
        <v/>
      </c>
      <c r="E591" s="16" t="str">
        <f aca="false">IF(Transações!E591&lt;&gt;"",Transações!E591,"")</f>
        <v/>
      </c>
      <c r="F591" s="7" t="str">
        <f aca="false">IF(C591="Compra",D591*E591,IF(C591="Staking",D591*E591,""))</f>
        <v/>
      </c>
      <c r="G591" s="7" t="str">
        <f aca="false">IF(C591="Venda",IF(COUNTIF(A$3:A590,A591)&gt;0,(E591-SUMPRODUCT((A$3:A590=A591)*(C$3:C590="Compra")*F$3:F590)/IF(SUMPRODUCT((A$3:A590=A591)*(C$3:C590="Compra")*D$3:D590)=0,1,SUMPRODUCT((A$3:A590=A591)*(C$3:C590="Compra")*D$3:D590)))*D591,0),"")</f>
        <v/>
      </c>
      <c r="H591" s="7" t="str">
        <f aca="false">IF(C591="Venda",E591*D591,"")</f>
        <v/>
      </c>
    </row>
    <row r="592" customFormat="false" ht="15" hidden="false" customHeight="false" outlineLevel="0" collapsed="false">
      <c r="A592" s="17" t="str">
        <f aca="false">IF(Transações!C592&lt;&gt;"",Transações!C592,"")</f>
        <v/>
      </c>
      <c r="B592" s="17" t="str">
        <f aca="false">IF(Transações!A592&lt;&gt;"",Transações!A592,"")</f>
        <v/>
      </c>
      <c r="C592" s="17" t="str">
        <f aca="false">IF(Transações!B592&lt;&gt;"",Transações!B592,"")</f>
        <v/>
      </c>
      <c r="D592" s="18" t="str">
        <f aca="false">IF(Transações!D592&lt;&gt;"",Transações!D592,"")</f>
        <v/>
      </c>
      <c r="E592" s="19" t="str">
        <f aca="false">IF(Transações!E592&lt;&gt;"",Transações!E592,"")</f>
        <v/>
      </c>
      <c r="F592" s="12" t="str">
        <f aca="false">IF(C592="Compra",D592*E592,IF(C592="Staking",D592*E592,""))</f>
        <v/>
      </c>
      <c r="G592" s="12" t="str">
        <f aca="false">IF(C592="Venda",IF(COUNTIF(A$3:A591,A592)&gt;0,(E592-SUMPRODUCT((A$3:A591=A592)*(C$3:C591="Compra")*F$3:F591)/IF(SUMPRODUCT((A$3:A591=A592)*(C$3:C591="Compra")*D$3:D591)=0,1,SUMPRODUCT((A$3:A591=A592)*(C$3:C591="Compra")*D$3:D591)))*D592,0),"")</f>
        <v/>
      </c>
      <c r="H592" s="12" t="str">
        <f aca="false">IF(C592="Venda",E592*D592,"")</f>
        <v/>
      </c>
    </row>
    <row r="593" customFormat="false" ht="15" hidden="false" customHeight="false" outlineLevel="0" collapsed="false">
      <c r="A593" s="14" t="str">
        <f aca="false">IF(Transações!C593&lt;&gt;"",Transações!C593,"")</f>
        <v/>
      </c>
      <c r="B593" s="14" t="str">
        <f aca="false">IF(Transações!A593&lt;&gt;"",Transações!A593,"")</f>
        <v/>
      </c>
      <c r="C593" s="14" t="str">
        <f aca="false">IF(Transações!B593&lt;&gt;"",Transações!B593,"")</f>
        <v/>
      </c>
      <c r="D593" s="15" t="str">
        <f aca="false">IF(Transações!D593&lt;&gt;"",Transações!D593,"")</f>
        <v/>
      </c>
      <c r="E593" s="16" t="str">
        <f aca="false">IF(Transações!E593&lt;&gt;"",Transações!E593,"")</f>
        <v/>
      </c>
      <c r="F593" s="7" t="str">
        <f aca="false">IF(C593="Compra",D593*E593,IF(C593="Staking",D593*E593,""))</f>
        <v/>
      </c>
      <c r="G593" s="7" t="str">
        <f aca="false">IF(C593="Venda",IF(COUNTIF(A$3:A592,A593)&gt;0,(E593-SUMPRODUCT((A$3:A592=A593)*(C$3:C592="Compra")*F$3:F592)/IF(SUMPRODUCT((A$3:A592=A593)*(C$3:C592="Compra")*D$3:D592)=0,1,SUMPRODUCT((A$3:A592=A593)*(C$3:C592="Compra")*D$3:D592)))*D593,0),"")</f>
        <v/>
      </c>
      <c r="H593" s="7" t="str">
        <f aca="false">IF(C593="Venda",E593*D593,"")</f>
        <v/>
      </c>
    </row>
    <row r="594" customFormat="false" ht="15" hidden="false" customHeight="false" outlineLevel="0" collapsed="false">
      <c r="A594" s="17" t="str">
        <f aca="false">IF(Transações!C594&lt;&gt;"",Transações!C594,"")</f>
        <v/>
      </c>
      <c r="B594" s="17" t="str">
        <f aca="false">IF(Transações!A594&lt;&gt;"",Transações!A594,"")</f>
        <v/>
      </c>
      <c r="C594" s="17" t="str">
        <f aca="false">IF(Transações!B594&lt;&gt;"",Transações!B594,"")</f>
        <v/>
      </c>
      <c r="D594" s="18" t="str">
        <f aca="false">IF(Transações!D594&lt;&gt;"",Transações!D594,"")</f>
        <v/>
      </c>
      <c r="E594" s="19" t="str">
        <f aca="false">IF(Transações!E594&lt;&gt;"",Transações!E594,"")</f>
        <v/>
      </c>
      <c r="F594" s="12" t="str">
        <f aca="false">IF(C594="Compra",D594*E594,IF(C594="Staking",D594*E594,""))</f>
        <v/>
      </c>
      <c r="G594" s="12" t="str">
        <f aca="false">IF(C594="Venda",IF(COUNTIF(A$3:A593,A594)&gt;0,(E594-SUMPRODUCT((A$3:A593=A594)*(C$3:C593="Compra")*F$3:F593)/IF(SUMPRODUCT((A$3:A593=A594)*(C$3:C593="Compra")*D$3:D593)=0,1,SUMPRODUCT((A$3:A593=A594)*(C$3:C593="Compra")*D$3:D593)))*D594,0),"")</f>
        <v/>
      </c>
      <c r="H594" s="12" t="str">
        <f aca="false">IF(C594="Venda",E594*D594,"")</f>
        <v/>
      </c>
    </row>
    <row r="595" customFormat="false" ht="15" hidden="false" customHeight="false" outlineLevel="0" collapsed="false">
      <c r="A595" s="14" t="str">
        <f aca="false">IF(Transações!C595&lt;&gt;"",Transações!C595,"")</f>
        <v/>
      </c>
      <c r="B595" s="14" t="str">
        <f aca="false">IF(Transações!A595&lt;&gt;"",Transações!A595,"")</f>
        <v/>
      </c>
      <c r="C595" s="14" t="str">
        <f aca="false">IF(Transações!B595&lt;&gt;"",Transações!B595,"")</f>
        <v/>
      </c>
      <c r="D595" s="15" t="str">
        <f aca="false">IF(Transações!D595&lt;&gt;"",Transações!D595,"")</f>
        <v/>
      </c>
      <c r="E595" s="16" t="str">
        <f aca="false">IF(Transações!E595&lt;&gt;"",Transações!E595,"")</f>
        <v/>
      </c>
      <c r="F595" s="7" t="str">
        <f aca="false">IF(C595="Compra",D595*E595,IF(C595="Staking",D595*E595,""))</f>
        <v/>
      </c>
      <c r="G595" s="7" t="str">
        <f aca="false">IF(C595="Venda",IF(COUNTIF(A$3:A594,A595)&gt;0,(E595-SUMPRODUCT((A$3:A594=A595)*(C$3:C594="Compra")*F$3:F594)/IF(SUMPRODUCT((A$3:A594=A595)*(C$3:C594="Compra")*D$3:D594)=0,1,SUMPRODUCT((A$3:A594=A595)*(C$3:C594="Compra")*D$3:D594)))*D595,0),"")</f>
        <v/>
      </c>
      <c r="H595" s="7" t="str">
        <f aca="false">IF(C595="Venda",E595*D595,"")</f>
        <v/>
      </c>
    </row>
    <row r="596" customFormat="false" ht="15" hidden="false" customHeight="false" outlineLevel="0" collapsed="false">
      <c r="A596" s="17" t="str">
        <f aca="false">IF(Transações!C596&lt;&gt;"",Transações!C596,"")</f>
        <v/>
      </c>
      <c r="B596" s="17" t="str">
        <f aca="false">IF(Transações!A596&lt;&gt;"",Transações!A596,"")</f>
        <v/>
      </c>
      <c r="C596" s="17" t="str">
        <f aca="false">IF(Transações!B596&lt;&gt;"",Transações!B596,"")</f>
        <v/>
      </c>
      <c r="D596" s="18" t="str">
        <f aca="false">IF(Transações!D596&lt;&gt;"",Transações!D596,"")</f>
        <v/>
      </c>
      <c r="E596" s="19" t="str">
        <f aca="false">IF(Transações!E596&lt;&gt;"",Transações!E596,"")</f>
        <v/>
      </c>
      <c r="F596" s="12" t="str">
        <f aca="false">IF(C596="Compra",D596*E596,IF(C596="Staking",D596*E596,""))</f>
        <v/>
      </c>
      <c r="G596" s="12" t="str">
        <f aca="false">IF(C596="Venda",IF(COUNTIF(A$3:A595,A596)&gt;0,(E596-SUMPRODUCT((A$3:A595=A596)*(C$3:C595="Compra")*F$3:F595)/IF(SUMPRODUCT((A$3:A595=A596)*(C$3:C595="Compra")*D$3:D595)=0,1,SUMPRODUCT((A$3:A595=A596)*(C$3:C595="Compra")*D$3:D595)))*D596,0),"")</f>
        <v/>
      </c>
      <c r="H596" s="12" t="str">
        <f aca="false">IF(C596="Venda",E596*D596,"")</f>
        <v/>
      </c>
    </row>
    <row r="597" customFormat="false" ht="15" hidden="false" customHeight="false" outlineLevel="0" collapsed="false">
      <c r="A597" s="14" t="str">
        <f aca="false">IF(Transações!C597&lt;&gt;"",Transações!C597,"")</f>
        <v/>
      </c>
      <c r="B597" s="14" t="str">
        <f aca="false">IF(Transações!A597&lt;&gt;"",Transações!A597,"")</f>
        <v/>
      </c>
      <c r="C597" s="14" t="str">
        <f aca="false">IF(Transações!B597&lt;&gt;"",Transações!B597,"")</f>
        <v/>
      </c>
      <c r="D597" s="15" t="str">
        <f aca="false">IF(Transações!D597&lt;&gt;"",Transações!D597,"")</f>
        <v/>
      </c>
      <c r="E597" s="16" t="str">
        <f aca="false">IF(Transações!E597&lt;&gt;"",Transações!E597,"")</f>
        <v/>
      </c>
      <c r="F597" s="7" t="str">
        <f aca="false">IF(C597="Compra",D597*E597,IF(C597="Staking",D597*E597,""))</f>
        <v/>
      </c>
      <c r="G597" s="7" t="str">
        <f aca="false">IF(C597="Venda",IF(COUNTIF(A$3:A596,A597)&gt;0,(E597-SUMPRODUCT((A$3:A596=A597)*(C$3:C596="Compra")*F$3:F596)/IF(SUMPRODUCT((A$3:A596=A597)*(C$3:C596="Compra")*D$3:D596)=0,1,SUMPRODUCT((A$3:A596=A597)*(C$3:C596="Compra")*D$3:D596)))*D597,0),"")</f>
        <v/>
      </c>
      <c r="H597" s="7" t="str">
        <f aca="false">IF(C597="Venda",E597*D597,"")</f>
        <v/>
      </c>
    </row>
    <row r="598" customFormat="false" ht="15" hidden="false" customHeight="false" outlineLevel="0" collapsed="false">
      <c r="A598" s="17" t="str">
        <f aca="false">IF(Transações!C598&lt;&gt;"",Transações!C598,"")</f>
        <v/>
      </c>
      <c r="B598" s="17" t="str">
        <f aca="false">IF(Transações!A598&lt;&gt;"",Transações!A598,"")</f>
        <v/>
      </c>
      <c r="C598" s="17" t="str">
        <f aca="false">IF(Transações!B598&lt;&gt;"",Transações!B598,"")</f>
        <v/>
      </c>
      <c r="D598" s="18" t="str">
        <f aca="false">IF(Transações!D598&lt;&gt;"",Transações!D598,"")</f>
        <v/>
      </c>
      <c r="E598" s="19" t="str">
        <f aca="false">IF(Transações!E598&lt;&gt;"",Transações!E598,"")</f>
        <v/>
      </c>
      <c r="F598" s="12" t="str">
        <f aca="false">IF(C598="Compra",D598*E598,IF(C598="Staking",D598*E598,""))</f>
        <v/>
      </c>
      <c r="G598" s="12" t="str">
        <f aca="false">IF(C598="Venda",IF(COUNTIF(A$3:A597,A598)&gt;0,(E598-SUMPRODUCT((A$3:A597=A598)*(C$3:C597="Compra")*F$3:F597)/IF(SUMPRODUCT((A$3:A597=A598)*(C$3:C597="Compra")*D$3:D597)=0,1,SUMPRODUCT((A$3:A597=A598)*(C$3:C597="Compra")*D$3:D597)))*D598,0),"")</f>
        <v/>
      </c>
      <c r="H598" s="12" t="str">
        <f aca="false">IF(C598="Venda",E598*D598,"")</f>
        <v/>
      </c>
    </row>
    <row r="599" customFormat="false" ht="15" hidden="false" customHeight="false" outlineLevel="0" collapsed="false">
      <c r="A599" s="14" t="str">
        <f aca="false">IF(Transações!C599&lt;&gt;"",Transações!C599,"")</f>
        <v/>
      </c>
      <c r="B599" s="14" t="str">
        <f aca="false">IF(Transações!A599&lt;&gt;"",Transações!A599,"")</f>
        <v/>
      </c>
      <c r="C599" s="14" t="str">
        <f aca="false">IF(Transações!B599&lt;&gt;"",Transações!B599,"")</f>
        <v/>
      </c>
      <c r="D599" s="15" t="str">
        <f aca="false">IF(Transações!D599&lt;&gt;"",Transações!D599,"")</f>
        <v/>
      </c>
      <c r="E599" s="16" t="str">
        <f aca="false">IF(Transações!E599&lt;&gt;"",Transações!E599,"")</f>
        <v/>
      </c>
      <c r="F599" s="7" t="str">
        <f aca="false">IF(C599="Compra",D599*E599,IF(C599="Staking",D599*E599,""))</f>
        <v/>
      </c>
      <c r="G599" s="7" t="str">
        <f aca="false">IF(C599="Venda",IF(COUNTIF(A$3:A598,A599)&gt;0,(E599-SUMPRODUCT((A$3:A598=A599)*(C$3:C598="Compra")*F$3:F598)/IF(SUMPRODUCT((A$3:A598=A599)*(C$3:C598="Compra")*D$3:D598)=0,1,SUMPRODUCT((A$3:A598=A599)*(C$3:C598="Compra")*D$3:D598)))*D599,0),"")</f>
        <v/>
      </c>
      <c r="H599" s="7" t="str">
        <f aca="false">IF(C599="Venda",E599*D599,"")</f>
        <v/>
      </c>
    </row>
    <row r="600" customFormat="false" ht="15" hidden="false" customHeight="false" outlineLevel="0" collapsed="false">
      <c r="A600" s="17" t="str">
        <f aca="false">IF(Transações!C600&lt;&gt;"",Transações!C600,"")</f>
        <v/>
      </c>
      <c r="B600" s="17" t="str">
        <f aca="false">IF(Transações!A600&lt;&gt;"",Transações!A600,"")</f>
        <v/>
      </c>
      <c r="C600" s="17" t="str">
        <f aca="false">IF(Transações!B600&lt;&gt;"",Transações!B600,"")</f>
        <v/>
      </c>
      <c r="D600" s="18" t="str">
        <f aca="false">IF(Transações!D600&lt;&gt;"",Transações!D600,"")</f>
        <v/>
      </c>
      <c r="E600" s="19" t="str">
        <f aca="false">IF(Transações!E600&lt;&gt;"",Transações!E600,"")</f>
        <v/>
      </c>
      <c r="F600" s="12" t="str">
        <f aca="false">IF(C600="Compra",D600*E600,IF(C600="Staking",D600*E600,""))</f>
        <v/>
      </c>
      <c r="G600" s="12" t="str">
        <f aca="false">IF(C600="Venda",IF(COUNTIF(A$3:A599,A600)&gt;0,(E600-SUMPRODUCT((A$3:A599=A600)*(C$3:C599="Compra")*F$3:F599)/IF(SUMPRODUCT((A$3:A599=A600)*(C$3:C599="Compra")*D$3:D599)=0,1,SUMPRODUCT((A$3:A599=A600)*(C$3:C599="Compra")*D$3:D599)))*D600,0),"")</f>
        <v/>
      </c>
      <c r="H600" s="12" t="str">
        <f aca="false">IF(C600="Venda",E600*D600,"")</f>
        <v/>
      </c>
    </row>
    <row r="601" customFormat="false" ht="15" hidden="false" customHeight="false" outlineLevel="0" collapsed="false">
      <c r="A601" s="14" t="str">
        <f aca="false">IF(Transações!C601&lt;&gt;"",Transações!C601,"")</f>
        <v/>
      </c>
      <c r="B601" s="14" t="str">
        <f aca="false">IF(Transações!A601&lt;&gt;"",Transações!A601,"")</f>
        <v/>
      </c>
      <c r="C601" s="14" t="str">
        <f aca="false">IF(Transações!B601&lt;&gt;"",Transações!B601,"")</f>
        <v/>
      </c>
      <c r="D601" s="15" t="str">
        <f aca="false">IF(Transações!D601&lt;&gt;"",Transações!D601,"")</f>
        <v/>
      </c>
      <c r="E601" s="16" t="str">
        <f aca="false">IF(Transações!E601&lt;&gt;"",Transações!E601,"")</f>
        <v/>
      </c>
      <c r="F601" s="7" t="str">
        <f aca="false">IF(C601="Compra",D601*E601,IF(C601="Staking",D601*E601,""))</f>
        <v/>
      </c>
      <c r="G601" s="7" t="str">
        <f aca="false">IF(C601="Venda",IF(COUNTIF(A$3:A600,A601)&gt;0,(E601-SUMPRODUCT((A$3:A600=A601)*(C$3:C600="Compra")*F$3:F600)/IF(SUMPRODUCT((A$3:A600=A601)*(C$3:C600="Compra")*D$3:D600)=0,1,SUMPRODUCT((A$3:A600=A601)*(C$3:C600="Compra")*D$3:D600)))*D601,0),"")</f>
        <v/>
      </c>
      <c r="H601" s="7" t="str">
        <f aca="false">IF(C601="Venda",E601*D601,"")</f>
        <v/>
      </c>
    </row>
    <row r="602" customFormat="false" ht="15" hidden="false" customHeight="false" outlineLevel="0" collapsed="false">
      <c r="A602" s="17" t="str">
        <f aca="false">IF(Transações!C602&lt;&gt;"",Transações!C602,"")</f>
        <v/>
      </c>
      <c r="B602" s="17" t="str">
        <f aca="false">IF(Transações!A602&lt;&gt;"",Transações!A602,"")</f>
        <v/>
      </c>
      <c r="C602" s="17" t="str">
        <f aca="false">IF(Transações!B602&lt;&gt;"",Transações!B602,"")</f>
        <v/>
      </c>
      <c r="D602" s="18" t="str">
        <f aca="false">IF(Transações!D602&lt;&gt;"",Transações!D602,"")</f>
        <v/>
      </c>
      <c r="E602" s="19" t="str">
        <f aca="false">IF(Transações!E602&lt;&gt;"",Transações!E602,"")</f>
        <v/>
      </c>
      <c r="F602" s="12" t="str">
        <f aca="false">IF(C602="Compra",D602*E602,IF(C602="Staking",D602*E602,""))</f>
        <v/>
      </c>
      <c r="G602" s="12" t="str">
        <f aca="false">IF(C602="Venda",IF(COUNTIF(A$3:A601,A602)&gt;0,(E602-SUMPRODUCT((A$3:A601=A602)*(C$3:C601="Compra")*F$3:F601)/IF(SUMPRODUCT((A$3:A601=A602)*(C$3:C601="Compra")*D$3:D601)=0,1,SUMPRODUCT((A$3:A601=A602)*(C$3:C601="Compra")*D$3:D601)))*D602,0),"")</f>
        <v/>
      </c>
      <c r="H602" s="12" t="str">
        <f aca="false">IF(C602="Venda",E602*D602,"")</f>
        <v/>
      </c>
    </row>
    <row r="603" customFormat="false" ht="15" hidden="false" customHeight="false" outlineLevel="0" collapsed="false">
      <c r="A603" s="14" t="str">
        <f aca="false">IF(Transações!C603&lt;&gt;"",Transações!C603,"")</f>
        <v/>
      </c>
      <c r="B603" s="14" t="str">
        <f aca="false">IF(Transações!A603&lt;&gt;"",Transações!A603,"")</f>
        <v/>
      </c>
      <c r="C603" s="14" t="str">
        <f aca="false">IF(Transações!B603&lt;&gt;"",Transações!B603,"")</f>
        <v/>
      </c>
      <c r="D603" s="15" t="str">
        <f aca="false">IF(Transações!D603&lt;&gt;"",Transações!D603,"")</f>
        <v/>
      </c>
      <c r="E603" s="16" t="str">
        <f aca="false">IF(Transações!E603&lt;&gt;"",Transações!E603,"")</f>
        <v/>
      </c>
      <c r="F603" s="7" t="str">
        <f aca="false">IF(C603="Compra",D603*E603,IF(C603="Staking",D603*E603,""))</f>
        <v/>
      </c>
      <c r="G603" s="7" t="str">
        <f aca="false">IF(C603="Venda",IF(COUNTIF(A$3:A602,A603)&gt;0,(E603-SUMPRODUCT((A$3:A602=A603)*(C$3:C602="Compra")*F$3:F602)/IF(SUMPRODUCT((A$3:A602=A603)*(C$3:C602="Compra")*D$3:D602)=0,1,SUMPRODUCT((A$3:A602=A603)*(C$3:C602="Compra")*D$3:D602)))*D603,0),"")</f>
        <v/>
      </c>
      <c r="H603" s="7" t="str">
        <f aca="false">IF(C603="Venda",E603*D603,"")</f>
        <v/>
      </c>
    </row>
    <row r="604" customFormat="false" ht="15" hidden="false" customHeight="false" outlineLevel="0" collapsed="false">
      <c r="A604" s="17" t="str">
        <f aca="false">IF(Transações!C604&lt;&gt;"",Transações!C604,"")</f>
        <v/>
      </c>
      <c r="B604" s="17" t="str">
        <f aca="false">IF(Transações!A604&lt;&gt;"",Transações!A604,"")</f>
        <v/>
      </c>
      <c r="C604" s="17" t="str">
        <f aca="false">IF(Transações!B604&lt;&gt;"",Transações!B604,"")</f>
        <v/>
      </c>
      <c r="D604" s="18" t="str">
        <f aca="false">IF(Transações!D604&lt;&gt;"",Transações!D604,"")</f>
        <v/>
      </c>
      <c r="E604" s="19" t="str">
        <f aca="false">IF(Transações!E604&lt;&gt;"",Transações!E604,"")</f>
        <v/>
      </c>
      <c r="F604" s="12" t="str">
        <f aca="false">IF(C604="Compra",D604*E604,IF(C604="Staking",D604*E604,""))</f>
        <v/>
      </c>
      <c r="G604" s="12" t="str">
        <f aca="false">IF(C604="Venda",IF(COUNTIF(A$3:A603,A604)&gt;0,(E604-SUMPRODUCT((A$3:A603=A604)*(C$3:C603="Compra")*F$3:F603)/IF(SUMPRODUCT((A$3:A603=A604)*(C$3:C603="Compra")*D$3:D603)=0,1,SUMPRODUCT((A$3:A603=A604)*(C$3:C603="Compra")*D$3:D603)))*D604,0),"")</f>
        <v/>
      </c>
      <c r="H604" s="12" t="str">
        <f aca="false">IF(C604="Venda",E604*D604,"")</f>
        <v/>
      </c>
    </row>
    <row r="605" customFormat="false" ht="15" hidden="false" customHeight="false" outlineLevel="0" collapsed="false">
      <c r="A605" s="14" t="str">
        <f aca="false">IF(Transações!C605&lt;&gt;"",Transações!C605,"")</f>
        <v/>
      </c>
      <c r="B605" s="14" t="str">
        <f aca="false">IF(Transações!A605&lt;&gt;"",Transações!A605,"")</f>
        <v/>
      </c>
      <c r="C605" s="14" t="str">
        <f aca="false">IF(Transações!B605&lt;&gt;"",Transações!B605,"")</f>
        <v/>
      </c>
      <c r="D605" s="15" t="str">
        <f aca="false">IF(Transações!D605&lt;&gt;"",Transações!D605,"")</f>
        <v/>
      </c>
      <c r="E605" s="16" t="str">
        <f aca="false">IF(Transações!E605&lt;&gt;"",Transações!E605,"")</f>
        <v/>
      </c>
      <c r="F605" s="7" t="str">
        <f aca="false">IF(C605="Compra",D605*E605,IF(C605="Staking",D605*E605,""))</f>
        <v/>
      </c>
      <c r="G605" s="7" t="str">
        <f aca="false">IF(C605="Venda",IF(COUNTIF(A$3:A604,A605)&gt;0,(E605-SUMPRODUCT((A$3:A604=A605)*(C$3:C604="Compra")*F$3:F604)/IF(SUMPRODUCT((A$3:A604=A605)*(C$3:C604="Compra")*D$3:D604)=0,1,SUMPRODUCT((A$3:A604=A605)*(C$3:C604="Compra")*D$3:D604)))*D605,0),"")</f>
        <v/>
      </c>
      <c r="H605" s="7" t="str">
        <f aca="false">IF(C605="Venda",E605*D605,"")</f>
        <v/>
      </c>
    </row>
    <row r="606" customFormat="false" ht="15" hidden="false" customHeight="false" outlineLevel="0" collapsed="false">
      <c r="A606" s="17" t="str">
        <f aca="false">IF(Transações!C606&lt;&gt;"",Transações!C606,"")</f>
        <v/>
      </c>
      <c r="B606" s="17" t="str">
        <f aca="false">IF(Transações!A606&lt;&gt;"",Transações!A606,"")</f>
        <v/>
      </c>
      <c r="C606" s="17" t="str">
        <f aca="false">IF(Transações!B606&lt;&gt;"",Transações!B606,"")</f>
        <v/>
      </c>
      <c r="D606" s="18" t="str">
        <f aca="false">IF(Transações!D606&lt;&gt;"",Transações!D606,"")</f>
        <v/>
      </c>
      <c r="E606" s="19" t="str">
        <f aca="false">IF(Transações!E606&lt;&gt;"",Transações!E606,"")</f>
        <v/>
      </c>
      <c r="F606" s="12" t="str">
        <f aca="false">IF(C606="Compra",D606*E606,IF(C606="Staking",D606*E606,""))</f>
        <v/>
      </c>
      <c r="G606" s="12" t="str">
        <f aca="false">IF(C606="Venda",IF(COUNTIF(A$3:A605,A606)&gt;0,(E606-SUMPRODUCT((A$3:A605=A606)*(C$3:C605="Compra")*F$3:F605)/IF(SUMPRODUCT((A$3:A605=A606)*(C$3:C605="Compra")*D$3:D605)=0,1,SUMPRODUCT((A$3:A605=A606)*(C$3:C605="Compra")*D$3:D605)))*D606,0),"")</f>
        <v/>
      </c>
      <c r="H606" s="12" t="str">
        <f aca="false">IF(C606="Venda",E606*D606,"")</f>
        <v/>
      </c>
    </row>
    <row r="607" customFormat="false" ht="15" hidden="false" customHeight="false" outlineLevel="0" collapsed="false">
      <c r="A607" s="14" t="str">
        <f aca="false">IF(Transações!C607&lt;&gt;"",Transações!C607,"")</f>
        <v/>
      </c>
      <c r="B607" s="14" t="str">
        <f aca="false">IF(Transações!A607&lt;&gt;"",Transações!A607,"")</f>
        <v/>
      </c>
      <c r="C607" s="14" t="str">
        <f aca="false">IF(Transações!B607&lt;&gt;"",Transações!B607,"")</f>
        <v/>
      </c>
      <c r="D607" s="15" t="str">
        <f aca="false">IF(Transações!D607&lt;&gt;"",Transações!D607,"")</f>
        <v/>
      </c>
      <c r="E607" s="16" t="str">
        <f aca="false">IF(Transações!E607&lt;&gt;"",Transações!E607,"")</f>
        <v/>
      </c>
      <c r="F607" s="7" t="str">
        <f aca="false">IF(C607="Compra",D607*E607,IF(C607="Staking",D607*E607,""))</f>
        <v/>
      </c>
      <c r="G607" s="7" t="str">
        <f aca="false">IF(C607="Venda",IF(COUNTIF(A$3:A606,A607)&gt;0,(E607-SUMPRODUCT((A$3:A606=A607)*(C$3:C606="Compra")*F$3:F606)/IF(SUMPRODUCT((A$3:A606=A607)*(C$3:C606="Compra")*D$3:D606)=0,1,SUMPRODUCT((A$3:A606=A607)*(C$3:C606="Compra")*D$3:D606)))*D607,0),"")</f>
        <v/>
      </c>
      <c r="H607" s="7" t="str">
        <f aca="false">IF(C607="Venda",E607*D607,"")</f>
        <v/>
      </c>
    </row>
    <row r="608" customFormat="false" ht="15" hidden="false" customHeight="false" outlineLevel="0" collapsed="false">
      <c r="A608" s="17" t="str">
        <f aca="false">IF(Transações!C608&lt;&gt;"",Transações!C608,"")</f>
        <v/>
      </c>
      <c r="B608" s="17" t="str">
        <f aca="false">IF(Transações!A608&lt;&gt;"",Transações!A608,"")</f>
        <v/>
      </c>
      <c r="C608" s="17" t="str">
        <f aca="false">IF(Transações!B608&lt;&gt;"",Transações!B608,"")</f>
        <v/>
      </c>
      <c r="D608" s="18" t="str">
        <f aca="false">IF(Transações!D608&lt;&gt;"",Transações!D608,"")</f>
        <v/>
      </c>
      <c r="E608" s="19" t="str">
        <f aca="false">IF(Transações!E608&lt;&gt;"",Transações!E608,"")</f>
        <v/>
      </c>
      <c r="F608" s="12" t="str">
        <f aca="false">IF(C608="Compra",D608*E608,IF(C608="Staking",D608*E608,""))</f>
        <v/>
      </c>
      <c r="G608" s="12" t="str">
        <f aca="false">IF(C608="Venda",IF(COUNTIF(A$3:A607,A608)&gt;0,(E608-SUMPRODUCT((A$3:A607=A608)*(C$3:C607="Compra")*F$3:F607)/IF(SUMPRODUCT((A$3:A607=A608)*(C$3:C607="Compra")*D$3:D607)=0,1,SUMPRODUCT((A$3:A607=A608)*(C$3:C607="Compra")*D$3:D607)))*D608,0),"")</f>
        <v/>
      </c>
      <c r="H608" s="12" t="str">
        <f aca="false">IF(C608="Venda",E608*D608,"")</f>
        <v/>
      </c>
    </row>
    <row r="609" customFormat="false" ht="15" hidden="false" customHeight="false" outlineLevel="0" collapsed="false">
      <c r="A609" s="14" t="str">
        <f aca="false">IF(Transações!C609&lt;&gt;"",Transações!C609,"")</f>
        <v/>
      </c>
      <c r="B609" s="14" t="str">
        <f aca="false">IF(Transações!A609&lt;&gt;"",Transações!A609,"")</f>
        <v/>
      </c>
      <c r="C609" s="14" t="str">
        <f aca="false">IF(Transações!B609&lt;&gt;"",Transações!B609,"")</f>
        <v/>
      </c>
      <c r="D609" s="15" t="str">
        <f aca="false">IF(Transações!D609&lt;&gt;"",Transações!D609,"")</f>
        <v/>
      </c>
      <c r="E609" s="16" t="str">
        <f aca="false">IF(Transações!E609&lt;&gt;"",Transações!E609,"")</f>
        <v/>
      </c>
      <c r="F609" s="7" t="str">
        <f aca="false">IF(C609="Compra",D609*E609,IF(C609="Staking",D609*E609,""))</f>
        <v/>
      </c>
      <c r="G609" s="7" t="str">
        <f aca="false">IF(C609="Venda",IF(COUNTIF(A$3:A608,A609)&gt;0,(E609-SUMPRODUCT((A$3:A608=A609)*(C$3:C608="Compra")*F$3:F608)/IF(SUMPRODUCT((A$3:A608=A609)*(C$3:C608="Compra")*D$3:D608)=0,1,SUMPRODUCT((A$3:A608=A609)*(C$3:C608="Compra")*D$3:D608)))*D609,0),"")</f>
        <v/>
      </c>
      <c r="H609" s="7" t="str">
        <f aca="false">IF(C609="Venda",E609*D609,"")</f>
        <v/>
      </c>
    </row>
    <row r="610" customFormat="false" ht="15" hidden="false" customHeight="false" outlineLevel="0" collapsed="false">
      <c r="A610" s="17" t="str">
        <f aca="false">IF(Transações!C610&lt;&gt;"",Transações!C610,"")</f>
        <v/>
      </c>
      <c r="B610" s="17" t="str">
        <f aca="false">IF(Transações!A610&lt;&gt;"",Transações!A610,"")</f>
        <v/>
      </c>
      <c r="C610" s="17" t="str">
        <f aca="false">IF(Transações!B610&lt;&gt;"",Transações!B610,"")</f>
        <v/>
      </c>
      <c r="D610" s="18" t="str">
        <f aca="false">IF(Transações!D610&lt;&gt;"",Transações!D610,"")</f>
        <v/>
      </c>
      <c r="E610" s="19" t="str">
        <f aca="false">IF(Transações!E610&lt;&gt;"",Transações!E610,"")</f>
        <v/>
      </c>
      <c r="F610" s="12" t="str">
        <f aca="false">IF(C610="Compra",D610*E610,IF(C610="Staking",D610*E610,""))</f>
        <v/>
      </c>
      <c r="G610" s="12" t="str">
        <f aca="false">IF(C610="Venda",IF(COUNTIF(A$3:A609,A610)&gt;0,(E610-SUMPRODUCT((A$3:A609=A610)*(C$3:C609="Compra")*F$3:F609)/IF(SUMPRODUCT((A$3:A609=A610)*(C$3:C609="Compra")*D$3:D609)=0,1,SUMPRODUCT((A$3:A609=A610)*(C$3:C609="Compra")*D$3:D609)))*D610,0),"")</f>
        <v/>
      </c>
      <c r="H610" s="12" t="str">
        <f aca="false">IF(C610="Venda",E610*D610,"")</f>
        <v/>
      </c>
    </row>
    <row r="611" customFormat="false" ht="15" hidden="false" customHeight="false" outlineLevel="0" collapsed="false">
      <c r="A611" s="14" t="str">
        <f aca="false">IF(Transações!C611&lt;&gt;"",Transações!C611,"")</f>
        <v/>
      </c>
      <c r="B611" s="14" t="str">
        <f aca="false">IF(Transações!A611&lt;&gt;"",Transações!A611,"")</f>
        <v/>
      </c>
      <c r="C611" s="14" t="str">
        <f aca="false">IF(Transações!B611&lt;&gt;"",Transações!B611,"")</f>
        <v/>
      </c>
      <c r="D611" s="15" t="str">
        <f aca="false">IF(Transações!D611&lt;&gt;"",Transações!D611,"")</f>
        <v/>
      </c>
      <c r="E611" s="16" t="str">
        <f aca="false">IF(Transações!E611&lt;&gt;"",Transações!E611,"")</f>
        <v/>
      </c>
      <c r="F611" s="7" t="str">
        <f aca="false">IF(C611="Compra",D611*E611,IF(C611="Staking",D611*E611,""))</f>
        <v/>
      </c>
      <c r="G611" s="7" t="str">
        <f aca="false">IF(C611="Venda",IF(COUNTIF(A$3:A610,A611)&gt;0,(E611-SUMPRODUCT((A$3:A610=A611)*(C$3:C610="Compra")*F$3:F610)/IF(SUMPRODUCT((A$3:A610=A611)*(C$3:C610="Compra")*D$3:D610)=0,1,SUMPRODUCT((A$3:A610=A611)*(C$3:C610="Compra")*D$3:D610)))*D611,0),"")</f>
        <v/>
      </c>
      <c r="H611" s="7" t="str">
        <f aca="false">IF(C611="Venda",E611*D611,"")</f>
        <v/>
      </c>
    </row>
    <row r="612" customFormat="false" ht="15" hidden="false" customHeight="false" outlineLevel="0" collapsed="false">
      <c r="A612" s="17" t="str">
        <f aca="false">IF(Transações!C612&lt;&gt;"",Transações!C612,"")</f>
        <v/>
      </c>
      <c r="B612" s="17" t="str">
        <f aca="false">IF(Transações!A612&lt;&gt;"",Transações!A612,"")</f>
        <v/>
      </c>
      <c r="C612" s="17" t="str">
        <f aca="false">IF(Transações!B612&lt;&gt;"",Transações!B612,"")</f>
        <v/>
      </c>
      <c r="D612" s="18" t="str">
        <f aca="false">IF(Transações!D612&lt;&gt;"",Transações!D612,"")</f>
        <v/>
      </c>
      <c r="E612" s="19" t="str">
        <f aca="false">IF(Transações!E612&lt;&gt;"",Transações!E612,"")</f>
        <v/>
      </c>
      <c r="F612" s="12" t="str">
        <f aca="false">IF(C612="Compra",D612*E612,IF(C612="Staking",D612*E612,""))</f>
        <v/>
      </c>
      <c r="G612" s="12" t="str">
        <f aca="false">IF(C612="Venda",IF(COUNTIF(A$3:A611,A612)&gt;0,(E612-SUMPRODUCT((A$3:A611=A612)*(C$3:C611="Compra")*F$3:F611)/IF(SUMPRODUCT((A$3:A611=A612)*(C$3:C611="Compra")*D$3:D611)=0,1,SUMPRODUCT((A$3:A611=A612)*(C$3:C611="Compra")*D$3:D611)))*D612,0),"")</f>
        <v/>
      </c>
      <c r="H612" s="12" t="str">
        <f aca="false">IF(C612="Venda",E612*D612,"")</f>
        <v/>
      </c>
    </row>
    <row r="613" customFormat="false" ht="15" hidden="false" customHeight="false" outlineLevel="0" collapsed="false">
      <c r="A613" s="14" t="str">
        <f aca="false">IF(Transações!C613&lt;&gt;"",Transações!C613,"")</f>
        <v/>
      </c>
      <c r="B613" s="14" t="str">
        <f aca="false">IF(Transações!A613&lt;&gt;"",Transações!A613,"")</f>
        <v/>
      </c>
      <c r="C613" s="14" t="str">
        <f aca="false">IF(Transações!B613&lt;&gt;"",Transações!B613,"")</f>
        <v/>
      </c>
      <c r="D613" s="15" t="str">
        <f aca="false">IF(Transações!D613&lt;&gt;"",Transações!D613,"")</f>
        <v/>
      </c>
      <c r="E613" s="16" t="str">
        <f aca="false">IF(Transações!E613&lt;&gt;"",Transações!E613,"")</f>
        <v/>
      </c>
      <c r="F613" s="7" t="str">
        <f aca="false">IF(C613="Compra",D613*E613,IF(C613="Staking",D613*E613,""))</f>
        <v/>
      </c>
      <c r="G613" s="7" t="str">
        <f aca="false">IF(C613="Venda",IF(COUNTIF(A$3:A612,A613)&gt;0,(E613-SUMPRODUCT((A$3:A612=A613)*(C$3:C612="Compra")*F$3:F612)/IF(SUMPRODUCT((A$3:A612=A613)*(C$3:C612="Compra")*D$3:D612)=0,1,SUMPRODUCT((A$3:A612=A613)*(C$3:C612="Compra")*D$3:D612)))*D613,0),"")</f>
        <v/>
      </c>
      <c r="H613" s="7" t="str">
        <f aca="false">IF(C613="Venda",E613*D613,"")</f>
        <v/>
      </c>
    </row>
    <row r="614" customFormat="false" ht="15" hidden="false" customHeight="false" outlineLevel="0" collapsed="false">
      <c r="A614" s="17" t="str">
        <f aca="false">IF(Transações!C614&lt;&gt;"",Transações!C614,"")</f>
        <v/>
      </c>
      <c r="B614" s="17" t="str">
        <f aca="false">IF(Transações!A614&lt;&gt;"",Transações!A614,"")</f>
        <v/>
      </c>
      <c r="C614" s="17" t="str">
        <f aca="false">IF(Transações!B614&lt;&gt;"",Transações!B614,"")</f>
        <v/>
      </c>
      <c r="D614" s="18" t="str">
        <f aca="false">IF(Transações!D614&lt;&gt;"",Transações!D614,"")</f>
        <v/>
      </c>
      <c r="E614" s="19" t="str">
        <f aca="false">IF(Transações!E614&lt;&gt;"",Transações!E614,"")</f>
        <v/>
      </c>
      <c r="F614" s="12" t="str">
        <f aca="false">IF(C614="Compra",D614*E614,IF(C614="Staking",D614*E614,""))</f>
        <v/>
      </c>
      <c r="G614" s="12" t="str">
        <f aca="false">IF(C614="Venda",IF(COUNTIF(A$3:A613,A614)&gt;0,(E614-SUMPRODUCT((A$3:A613=A614)*(C$3:C613="Compra")*F$3:F613)/IF(SUMPRODUCT((A$3:A613=A614)*(C$3:C613="Compra")*D$3:D613)=0,1,SUMPRODUCT((A$3:A613=A614)*(C$3:C613="Compra")*D$3:D613)))*D614,0),"")</f>
        <v/>
      </c>
      <c r="H614" s="12" t="str">
        <f aca="false">IF(C614="Venda",E614*D614,"")</f>
        <v/>
      </c>
    </row>
    <row r="615" customFormat="false" ht="15" hidden="false" customHeight="false" outlineLevel="0" collapsed="false">
      <c r="A615" s="14" t="str">
        <f aca="false">IF(Transações!C615&lt;&gt;"",Transações!C615,"")</f>
        <v/>
      </c>
      <c r="B615" s="14" t="str">
        <f aca="false">IF(Transações!A615&lt;&gt;"",Transações!A615,"")</f>
        <v/>
      </c>
      <c r="C615" s="14" t="str">
        <f aca="false">IF(Transações!B615&lt;&gt;"",Transações!B615,"")</f>
        <v/>
      </c>
      <c r="D615" s="15" t="str">
        <f aca="false">IF(Transações!D615&lt;&gt;"",Transações!D615,"")</f>
        <v/>
      </c>
      <c r="E615" s="16" t="str">
        <f aca="false">IF(Transações!E615&lt;&gt;"",Transações!E615,"")</f>
        <v/>
      </c>
      <c r="F615" s="7" t="str">
        <f aca="false">IF(C615="Compra",D615*E615,IF(C615="Staking",D615*E615,""))</f>
        <v/>
      </c>
      <c r="G615" s="7" t="str">
        <f aca="false">IF(C615="Venda",IF(COUNTIF(A$3:A614,A615)&gt;0,(E615-SUMPRODUCT((A$3:A614=A615)*(C$3:C614="Compra")*F$3:F614)/IF(SUMPRODUCT((A$3:A614=A615)*(C$3:C614="Compra")*D$3:D614)=0,1,SUMPRODUCT((A$3:A614=A615)*(C$3:C614="Compra")*D$3:D614)))*D615,0),"")</f>
        <v/>
      </c>
      <c r="H615" s="7" t="str">
        <f aca="false">IF(C615="Venda",E615*D615,"")</f>
        <v/>
      </c>
    </row>
    <row r="616" customFormat="false" ht="15" hidden="false" customHeight="false" outlineLevel="0" collapsed="false">
      <c r="A616" s="17" t="str">
        <f aca="false">IF(Transações!C616&lt;&gt;"",Transações!C616,"")</f>
        <v/>
      </c>
      <c r="B616" s="17" t="str">
        <f aca="false">IF(Transações!A616&lt;&gt;"",Transações!A616,"")</f>
        <v/>
      </c>
      <c r="C616" s="17" t="str">
        <f aca="false">IF(Transações!B616&lt;&gt;"",Transações!B616,"")</f>
        <v/>
      </c>
      <c r="D616" s="18" t="str">
        <f aca="false">IF(Transações!D616&lt;&gt;"",Transações!D616,"")</f>
        <v/>
      </c>
      <c r="E616" s="19" t="str">
        <f aca="false">IF(Transações!E616&lt;&gt;"",Transações!E616,"")</f>
        <v/>
      </c>
      <c r="F616" s="12" t="str">
        <f aca="false">IF(C616="Compra",D616*E616,IF(C616="Staking",D616*E616,""))</f>
        <v/>
      </c>
      <c r="G616" s="12" t="str">
        <f aca="false">IF(C616="Venda",IF(COUNTIF(A$3:A615,A616)&gt;0,(E616-SUMPRODUCT((A$3:A615=A616)*(C$3:C615="Compra")*F$3:F615)/IF(SUMPRODUCT((A$3:A615=A616)*(C$3:C615="Compra")*D$3:D615)=0,1,SUMPRODUCT((A$3:A615=A616)*(C$3:C615="Compra")*D$3:D615)))*D616,0),"")</f>
        <v/>
      </c>
      <c r="H616" s="12" t="str">
        <f aca="false">IF(C616="Venda",E616*D616,"")</f>
        <v/>
      </c>
    </row>
    <row r="617" customFormat="false" ht="15" hidden="false" customHeight="false" outlineLevel="0" collapsed="false">
      <c r="A617" s="14" t="str">
        <f aca="false">IF(Transações!C617&lt;&gt;"",Transações!C617,"")</f>
        <v/>
      </c>
      <c r="B617" s="14" t="str">
        <f aca="false">IF(Transações!A617&lt;&gt;"",Transações!A617,"")</f>
        <v/>
      </c>
      <c r="C617" s="14" t="str">
        <f aca="false">IF(Transações!B617&lt;&gt;"",Transações!B617,"")</f>
        <v/>
      </c>
      <c r="D617" s="15" t="str">
        <f aca="false">IF(Transações!D617&lt;&gt;"",Transações!D617,"")</f>
        <v/>
      </c>
      <c r="E617" s="16" t="str">
        <f aca="false">IF(Transações!E617&lt;&gt;"",Transações!E617,"")</f>
        <v/>
      </c>
      <c r="F617" s="7" t="str">
        <f aca="false">IF(C617="Compra",D617*E617,IF(C617="Staking",D617*E617,""))</f>
        <v/>
      </c>
      <c r="G617" s="7" t="str">
        <f aca="false">IF(C617="Venda",IF(COUNTIF(A$3:A616,A617)&gt;0,(E617-SUMPRODUCT((A$3:A616=A617)*(C$3:C616="Compra")*F$3:F616)/IF(SUMPRODUCT((A$3:A616=A617)*(C$3:C616="Compra")*D$3:D616)=0,1,SUMPRODUCT((A$3:A616=A617)*(C$3:C616="Compra")*D$3:D616)))*D617,0),"")</f>
        <v/>
      </c>
      <c r="H617" s="7" t="str">
        <f aca="false">IF(C617="Venda",E617*D617,"")</f>
        <v/>
      </c>
    </row>
    <row r="618" customFormat="false" ht="15" hidden="false" customHeight="false" outlineLevel="0" collapsed="false">
      <c r="A618" s="17" t="str">
        <f aca="false">IF(Transações!C618&lt;&gt;"",Transações!C618,"")</f>
        <v/>
      </c>
      <c r="B618" s="17" t="str">
        <f aca="false">IF(Transações!A618&lt;&gt;"",Transações!A618,"")</f>
        <v/>
      </c>
      <c r="C618" s="17" t="str">
        <f aca="false">IF(Transações!B618&lt;&gt;"",Transações!B618,"")</f>
        <v/>
      </c>
      <c r="D618" s="18" t="str">
        <f aca="false">IF(Transações!D618&lt;&gt;"",Transações!D618,"")</f>
        <v/>
      </c>
      <c r="E618" s="19" t="str">
        <f aca="false">IF(Transações!E618&lt;&gt;"",Transações!E618,"")</f>
        <v/>
      </c>
      <c r="F618" s="12" t="str">
        <f aca="false">IF(C618="Compra",D618*E618,IF(C618="Staking",D618*E618,""))</f>
        <v/>
      </c>
      <c r="G618" s="12" t="str">
        <f aca="false">IF(C618="Venda",IF(COUNTIF(A$3:A617,A618)&gt;0,(E618-SUMPRODUCT((A$3:A617=A618)*(C$3:C617="Compra")*F$3:F617)/IF(SUMPRODUCT((A$3:A617=A618)*(C$3:C617="Compra")*D$3:D617)=0,1,SUMPRODUCT((A$3:A617=A618)*(C$3:C617="Compra")*D$3:D617)))*D618,0),"")</f>
        <v/>
      </c>
      <c r="H618" s="12" t="str">
        <f aca="false">IF(C618="Venda",E618*D618,"")</f>
        <v/>
      </c>
    </row>
    <row r="619" customFormat="false" ht="15" hidden="false" customHeight="false" outlineLevel="0" collapsed="false">
      <c r="A619" s="14" t="str">
        <f aca="false">IF(Transações!C619&lt;&gt;"",Transações!C619,"")</f>
        <v/>
      </c>
      <c r="B619" s="14" t="str">
        <f aca="false">IF(Transações!A619&lt;&gt;"",Transações!A619,"")</f>
        <v/>
      </c>
      <c r="C619" s="14" t="str">
        <f aca="false">IF(Transações!B619&lt;&gt;"",Transações!B619,"")</f>
        <v/>
      </c>
      <c r="D619" s="15" t="str">
        <f aca="false">IF(Transações!D619&lt;&gt;"",Transações!D619,"")</f>
        <v/>
      </c>
      <c r="E619" s="16" t="str">
        <f aca="false">IF(Transações!E619&lt;&gt;"",Transações!E619,"")</f>
        <v/>
      </c>
      <c r="F619" s="7" t="str">
        <f aca="false">IF(C619="Compra",D619*E619,IF(C619="Staking",D619*E619,""))</f>
        <v/>
      </c>
      <c r="G619" s="7" t="str">
        <f aca="false">IF(C619="Venda",IF(COUNTIF(A$3:A618,A619)&gt;0,(E619-SUMPRODUCT((A$3:A618=A619)*(C$3:C618="Compra")*F$3:F618)/IF(SUMPRODUCT((A$3:A618=A619)*(C$3:C618="Compra")*D$3:D618)=0,1,SUMPRODUCT((A$3:A618=A619)*(C$3:C618="Compra")*D$3:D618)))*D619,0),"")</f>
        <v/>
      </c>
      <c r="H619" s="7" t="str">
        <f aca="false">IF(C619="Venda",E619*D619,"")</f>
        <v/>
      </c>
    </row>
    <row r="620" customFormat="false" ht="15" hidden="false" customHeight="false" outlineLevel="0" collapsed="false">
      <c r="A620" s="17" t="str">
        <f aca="false">IF(Transações!C620&lt;&gt;"",Transações!C620,"")</f>
        <v/>
      </c>
      <c r="B620" s="17" t="str">
        <f aca="false">IF(Transações!A620&lt;&gt;"",Transações!A620,"")</f>
        <v/>
      </c>
      <c r="C620" s="17" t="str">
        <f aca="false">IF(Transações!B620&lt;&gt;"",Transações!B620,"")</f>
        <v/>
      </c>
      <c r="D620" s="18" t="str">
        <f aca="false">IF(Transações!D620&lt;&gt;"",Transações!D620,"")</f>
        <v/>
      </c>
      <c r="E620" s="19" t="str">
        <f aca="false">IF(Transações!E620&lt;&gt;"",Transações!E620,"")</f>
        <v/>
      </c>
      <c r="F620" s="12" t="str">
        <f aca="false">IF(C620="Compra",D620*E620,IF(C620="Staking",D620*E620,""))</f>
        <v/>
      </c>
      <c r="G620" s="12" t="str">
        <f aca="false">IF(C620="Venda",IF(COUNTIF(A$3:A619,A620)&gt;0,(E620-SUMPRODUCT((A$3:A619=A620)*(C$3:C619="Compra")*F$3:F619)/IF(SUMPRODUCT((A$3:A619=A620)*(C$3:C619="Compra")*D$3:D619)=0,1,SUMPRODUCT((A$3:A619=A620)*(C$3:C619="Compra")*D$3:D619)))*D620,0),"")</f>
        <v/>
      </c>
      <c r="H620" s="12" t="str">
        <f aca="false">IF(C620="Venda",E620*D620,"")</f>
        <v/>
      </c>
    </row>
    <row r="621" customFormat="false" ht="15" hidden="false" customHeight="false" outlineLevel="0" collapsed="false">
      <c r="A621" s="14" t="str">
        <f aca="false">IF(Transações!C621&lt;&gt;"",Transações!C621,"")</f>
        <v/>
      </c>
      <c r="B621" s="14" t="str">
        <f aca="false">IF(Transações!A621&lt;&gt;"",Transações!A621,"")</f>
        <v/>
      </c>
      <c r="C621" s="14" t="str">
        <f aca="false">IF(Transações!B621&lt;&gt;"",Transações!B621,"")</f>
        <v/>
      </c>
      <c r="D621" s="15" t="str">
        <f aca="false">IF(Transações!D621&lt;&gt;"",Transações!D621,"")</f>
        <v/>
      </c>
      <c r="E621" s="16" t="str">
        <f aca="false">IF(Transações!E621&lt;&gt;"",Transações!E621,"")</f>
        <v/>
      </c>
      <c r="F621" s="7" t="str">
        <f aca="false">IF(C621="Compra",D621*E621,IF(C621="Staking",D621*E621,""))</f>
        <v/>
      </c>
      <c r="G621" s="7" t="str">
        <f aca="false">IF(C621="Venda",IF(COUNTIF(A$3:A620,A621)&gt;0,(E621-SUMPRODUCT((A$3:A620=A621)*(C$3:C620="Compra")*F$3:F620)/IF(SUMPRODUCT((A$3:A620=A621)*(C$3:C620="Compra")*D$3:D620)=0,1,SUMPRODUCT((A$3:A620=A621)*(C$3:C620="Compra")*D$3:D620)))*D621,0),"")</f>
        <v/>
      </c>
      <c r="H621" s="7" t="str">
        <f aca="false">IF(C621="Venda",E621*D621,"")</f>
        <v/>
      </c>
    </row>
    <row r="622" customFormat="false" ht="15" hidden="false" customHeight="false" outlineLevel="0" collapsed="false">
      <c r="A622" s="17" t="str">
        <f aca="false">IF(Transações!C622&lt;&gt;"",Transações!C622,"")</f>
        <v/>
      </c>
      <c r="B622" s="17" t="str">
        <f aca="false">IF(Transações!A622&lt;&gt;"",Transações!A622,"")</f>
        <v/>
      </c>
      <c r="C622" s="17" t="str">
        <f aca="false">IF(Transações!B622&lt;&gt;"",Transações!B622,"")</f>
        <v/>
      </c>
      <c r="D622" s="18" t="str">
        <f aca="false">IF(Transações!D622&lt;&gt;"",Transações!D622,"")</f>
        <v/>
      </c>
      <c r="E622" s="19" t="str">
        <f aca="false">IF(Transações!E622&lt;&gt;"",Transações!E622,"")</f>
        <v/>
      </c>
      <c r="F622" s="12" t="str">
        <f aca="false">IF(C622="Compra",D622*E622,IF(C622="Staking",D622*E622,""))</f>
        <v/>
      </c>
      <c r="G622" s="12" t="str">
        <f aca="false">IF(C622="Venda",IF(COUNTIF(A$3:A621,A622)&gt;0,(E622-SUMPRODUCT((A$3:A621=A622)*(C$3:C621="Compra")*F$3:F621)/IF(SUMPRODUCT((A$3:A621=A622)*(C$3:C621="Compra")*D$3:D621)=0,1,SUMPRODUCT((A$3:A621=A622)*(C$3:C621="Compra")*D$3:D621)))*D622,0),"")</f>
        <v/>
      </c>
      <c r="H622" s="12" t="str">
        <f aca="false">IF(C622="Venda",E622*D622,"")</f>
        <v/>
      </c>
    </row>
    <row r="623" customFormat="false" ht="15" hidden="false" customHeight="false" outlineLevel="0" collapsed="false">
      <c r="A623" s="14" t="str">
        <f aca="false">IF(Transações!C623&lt;&gt;"",Transações!C623,"")</f>
        <v/>
      </c>
      <c r="B623" s="14" t="str">
        <f aca="false">IF(Transações!A623&lt;&gt;"",Transações!A623,"")</f>
        <v/>
      </c>
      <c r="C623" s="14" t="str">
        <f aca="false">IF(Transações!B623&lt;&gt;"",Transações!B623,"")</f>
        <v/>
      </c>
      <c r="D623" s="15" t="str">
        <f aca="false">IF(Transações!D623&lt;&gt;"",Transações!D623,"")</f>
        <v/>
      </c>
      <c r="E623" s="16" t="str">
        <f aca="false">IF(Transações!E623&lt;&gt;"",Transações!E623,"")</f>
        <v/>
      </c>
      <c r="F623" s="7" t="str">
        <f aca="false">IF(C623="Compra",D623*E623,IF(C623="Staking",D623*E623,""))</f>
        <v/>
      </c>
      <c r="G623" s="7" t="str">
        <f aca="false">IF(C623="Venda",IF(COUNTIF(A$3:A622,A623)&gt;0,(E623-SUMPRODUCT((A$3:A622=A623)*(C$3:C622="Compra")*F$3:F622)/IF(SUMPRODUCT((A$3:A622=A623)*(C$3:C622="Compra")*D$3:D622)=0,1,SUMPRODUCT((A$3:A622=A623)*(C$3:C622="Compra")*D$3:D622)))*D623,0),"")</f>
        <v/>
      </c>
      <c r="H623" s="7" t="str">
        <f aca="false">IF(C623="Venda",E623*D623,"")</f>
        <v/>
      </c>
    </row>
    <row r="624" customFormat="false" ht="15" hidden="false" customHeight="false" outlineLevel="0" collapsed="false">
      <c r="A624" s="17" t="str">
        <f aca="false">IF(Transações!C624&lt;&gt;"",Transações!C624,"")</f>
        <v/>
      </c>
      <c r="B624" s="17" t="str">
        <f aca="false">IF(Transações!A624&lt;&gt;"",Transações!A624,"")</f>
        <v/>
      </c>
      <c r="C624" s="17" t="str">
        <f aca="false">IF(Transações!B624&lt;&gt;"",Transações!B624,"")</f>
        <v/>
      </c>
      <c r="D624" s="18" t="str">
        <f aca="false">IF(Transações!D624&lt;&gt;"",Transações!D624,"")</f>
        <v/>
      </c>
      <c r="E624" s="19" t="str">
        <f aca="false">IF(Transações!E624&lt;&gt;"",Transações!E624,"")</f>
        <v/>
      </c>
      <c r="F624" s="12" t="str">
        <f aca="false">IF(C624="Compra",D624*E624,IF(C624="Staking",D624*E624,""))</f>
        <v/>
      </c>
      <c r="G624" s="12" t="str">
        <f aca="false">IF(C624="Venda",IF(COUNTIF(A$3:A623,A624)&gt;0,(E624-SUMPRODUCT((A$3:A623=A624)*(C$3:C623="Compra")*F$3:F623)/IF(SUMPRODUCT((A$3:A623=A624)*(C$3:C623="Compra")*D$3:D623)=0,1,SUMPRODUCT((A$3:A623=A624)*(C$3:C623="Compra")*D$3:D623)))*D624,0),"")</f>
        <v/>
      </c>
      <c r="H624" s="12" t="str">
        <f aca="false">IF(C624="Venda",E624*D624,"")</f>
        <v/>
      </c>
    </row>
    <row r="625" customFormat="false" ht="15" hidden="false" customHeight="false" outlineLevel="0" collapsed="false">
      <c r="A625" s="14" t="str">
        <f aca="false">IF(Transações!C625&lt;&gt;"",Transações!C625,"")</f>
        <v/>
      </c>
      <c r="B625" s="14" t="str">
        <f aca="false">IF(Transações!A625&lt;&gt;"",Transações!A625,"")</f>
        <v/>
      </c>
      <c r="C625" s="14" t="str">
        <f aca="false">IF(Transações!B625&lt;&gt;"",Transações!B625,"")</f>
        <v/>
      </c>
      <c r="D625" s="15" t="str">
        <f aca="false">IF(Transações!D625&lt;&gt;"",Transações!D625,"")</f>
        <v/>
      </c>
      <c r="E625" s="16" t="str">
        <f aca="false">IF(Transações!E625&lt;&gt;"",Transações!E625,"")</f>
        <v/>
      </c>
      <c r="F625" s="7" t="str">
        <f aca="false">IF(C625="Compra",D625*E625,IF(C625="Staking",D625*E625,""))</f>
        <v/>
      </c>
      <c r="G625" s="7" t="str">
        <f aca="false">IF(C625="Venda",IF(COUNTIF(A$3:A624,A625)&gt;0,(E625-SUMPRODUCT((A$3:A624=A625)*(C$3:C624="Compra")*F$3:F624)/IF(SUMPRODUCT((A$3:A624=A625)*(C$3:C624="Compra")*D$3:D624)=0,1,SUMPRODUCT((A$3:A624=A625)*(C$3:C624="Compra")*D$3:D624)))*D625,0),"")</f>
        <v/>
      </c>
      <c r="H625" s="7" t="str">
        <f aca="false">IF(C625="Venda",E625*D625,"")</f>
        <v/>
      </c>
    </row>
    <row r="626" customFormat="false" ht="15" hidden="false" customHeight="false" outlineLevel="0" collapsed="false">
      <c r="A626" s="17" t="str">
        <f aca="false">IF(Transações!C626&lt;&gt;"",Transações!C626,"")</f>
        <v/>
      </c>
      <c r="B626" s="17" t="str">
        <f aca="false">IF(Transações!A626&lt;&gt;"",Transações!A626,"")</f>
        <v/>
      </c>
      <c r="C626" s="17" t="str">
        <f aca="false">IF(Transações!B626&lt;&gt;"",Transações!B626,"")</f>
        <v/>
      </c>
      <c r="D626" s="18" t="str">
        <f aca="false">IF(Transações!D626&lt;&gt;"",Transações!D626,"")</f>
        <v/>
      </c>
      <c r="E626" s="19" t="str">
        <f aca="false">IF(Transações!E626&lt;&gt;"",Transações!E626,"")</f>
        <v/>
      </c>
      <c r="F626" s="12" t="str">
        <f aca="false">IF(C626="Compra",D626*E626,IF(C626="Staking",D626*E626,""))</f>
        <v/>
      </c>
      <c r="G626" s="12" t="str">
        <f aca="false">IF(C626="Venda",IF(COUNTIF(A$3:A625,A626)&gt;0,(E626-SUMPRODUCT((A$3:A625=A626)*(C$3:C625="Compra")*F$3:F625)/IF(SUMPRODUCT((A$3:A625=A626)*(C$3:C625="Compra")*D$3:D625)=0,1,SUMPRODUCT((A$3:A625=A626)*(C$3:C625="Compra")*D$3:D625)))*D626,0),"")</f>
        <v/>
      </c>
      <c r="H626" s="12" t="str">
        <f aca="false">IF(C626="Venda",E626*D626,"")</f>
        <v/>
      </c>
    </row>
    <row r="627" customFormat="false" ht="15" hidden="false" customHeight="false" outlineLevel="0" collapsed="false">
      <c r="A627" s="14" t="str">
        <f aca="false">IF(Transações!C627&lt;&gt;"",Transações!C627,"")</f>
        <v/>
      </c>
      <c r="B627" s="14" t="str">
        <f aca="false">IF(Transações!A627&lt;&gt;"",Transações!A627,"")</f>
        <v/>
      </c>
      <c r="C627" s="14" t="str">
        <f aca="false">IF(Transações!B627&lt;&gt;"",Transações!B627,"")</f>
        <v/>
      </c>
      <c r="D627" s="15" t="str">
        <f aca="false">IF(Transações!D627&lt;&gt;"",Transações!D627,"")</f>
        <v/>
      </c>
      <c r="E627" s="16" t="str">
        <f aca="false">IF(Transações!E627&lt;&gt;"",Transações!E627,"")</f>
        <v/>
      </c>
      <c r="F627" s="7" t="str">
        <f aca="false">IF(C627="Compra",D627*E627,IF(C627="Staking",D627*E627,""))</f>
        <v/>
      </c>
      <c r="G627" s="7" t="str">
        <f aca="false">IF(C627="Venda",IF(COUNTIF(A$3:A626,A627)&gt;0,(E627-SUMPRODUCT((A$3:A626=A627)*(C$3:C626="Compra")*F$3:F626)/IF(SUMPRODUCT((A$3:A626=A627)*(C$3:C626="Compra")*D$3:D626)=0,1,SUMPRODUCT((A$3:A626=A627)*(C$3:C626="Compra")*D$3:D626)))*D627,0),"")</f>
        <v/>
      </c>
      <c r="H627" s="7" t="str">
        <f aca="false">IF(C627="Venda",E627*D627,"")</f>
        <v/>
      </c>
    </row>
    <row r="628" customFormat="false" ht="15" hidden="false" customHeight="false" outlineLevel="0" collapsed="false">
      <c r="A628" s="17" t="str">
        <f aca="false">IF(Transações!C628&lt;&gt;"",Transações!C628,"")</f>
        <v/>
      </c>
      <c r="B628" s="17" t="str">
        <f aca="false">IF(Transações!A628&lt;&gt;"",Transações!A628,"")</f>
        <v/>
      </c>
      <c r="C628" s="17" t="str">
        <f aca="false">IF(Transações!B628&lt;&gt;"",Transações!B628,"")</f>
        <v/>
      </c>
      <c r="D628" s="18" t="str">
        <f aca="false">IF(Transações!D628&lt;&gt;"",Transações!D628,"")</f>
        <v/>
      </c>
      <c r="E628" s="19" t="str">
        <f aca="false">IF(Transações!E628&lt;&gt;"",Transações!E628,"")</f>
        <v/>
      </c>
      <c r="F628" s="12" t="str">
        <f aca="false">IF(C628="Compra",D628*E628,IF(C628="Staking",D628*E628,""))</f>
        <v/>
      </c>
      <c r="G628" s="12" t="str">
        <f aca="false">IF(C628="Venda",IF(COUNTIF(A$3:A627,A628)&gt;0,(E628-SUMPRODUCT((A$3:A627=A628)*(C$3:C627="Compra")*F$3:F627)/IF(SUMPRODUCT((A$3:A627=A628)*(C$3:C627="Compra")*D$3:D627)=0,1,SUMPRODUCT((A$3:A627=A628)*(C$3:C627="Compra")*D$3:D627)))*D628,0),"")</f>
        <v/>
      </c>
      <c r="H628" s="12" t="str">
        <f aca="false">IF(C628="Venda",E628*D628,"")</f>
        <v/>
      </c>
    </row>
    <row r="629" customFormat="false" ht="15" hidden="false" customHeight="false" outlineLevel="0" collapsed="false">
      <c r="A629" s="14" t="str">
        <f aca="false">IF(Transações!C629&lt;&gt;"",Transações!C629,"")</f>
        <v/>
      </c>
      <c r="B629" s="14" t="str">
        <f aca="false">IF(Transações!A629&lt;&gt;"",Transações!A629,"")</f>
        <v/>
      </c>
      <c r="C629" s="14" t="str">
        <f aca="false">IF(Transações!B629&lt;&gt;"",Transações!B629,"")</f>
        <v/>
      </c>
      <c r="D629" s="15" t="str">
        <f aca="false">IF(Transações!D629&lt;&gt;"",Transações!D629,"")</f>
        <v/>
      </c>
      <c r="E629" s="16" t="str">
        <f aca="false">IF(Transações!E629&lt;&gt;"",Transações!E629,"")</f>
        <v/>
      </c>
      <c r="F629" s="7" t="str">
        <f aca="false">IF(C629="Compra",D629*E629,IF(C629="Staking",D629*E629,""))</f>
        <v/>
      </c>
      <c r="G629" s="7" t="str">
        <f aca="false">IF(C629="Venda",IF(COUNTIF(A$3:A628,A629)&gt;0,(E629-SUMPRODUCT((A$3:A628=A629)*(C$3:C628="Compra")*F$3:F628)/IF(SUMPRODUCT((A$3:A628=A629)*(C$3:C628="Compra")*D$3:D628)=0,1,SUMPRODUCT((A$3:A628=A629)*(C$3:C628="Compra")*D$3:D628)))*D629,0),"")</f>
        <v/>
      </c>
      <c r="H629" s="7" t="str">
        <f aca="false">IF(C629="Venda",E629*D629,"")</f>
        <v/>
      </c>
    </row>
    <row r="630" customFormat="false" ht="15" hidden="false" customHeight="false" outlineLevel="0" collapsed="false">
      <c r="A630" s="17" t="str">
        <f aca="false">IF(Transações!C630&lt;&gt;"",Transações!C630,"")</f>
        <v/>
      </c>
      <c r="B630" s="17" t="str">
        <f aca="false">IF(Transações!A630&lt;&gt;"",Transações!A630,"")</f>
        <v/>
      </c>
      <c r="C630" s="17" t="str">
        <f aca="false">IF(Transações!B630&lt;&gt;"",Transações!B630,"")</f>
        <v/>
      </c>
      <c r="D630" s="18" t="str">
        <f aca="false">IF(Transações!D630&lt;&gt;"",Transações!D630,"")</f>
        <v/>
      </c>
      <c r="E630" s="19" t="str">
        <f aca="false">IF(Transações!E630&lt;&gt;"",Transações!E630,"")</f>
        <v/>
      </c>
      <c r="F630" s="12" t="str">
        <f aca="false">IF(C630="Compra",D630*E630,IF(C630="Staking",D630*E630,""))</f>
        <v/>
      </c>
      <c r="G630" s="12" t="str">
        <f aca="false">IF(C630="Venda",IF(COUNTIF(A$3:A629,A630)&gt;0,(E630-SUMPRODUCT((A$3:A629=A630)*(C$3:C629="Compra")*F$3:F629)/IF(SUMPRODUCT((A$3:A629=A630)*(C$3:C629="Compra")*D$3:D629)=0,1,SUMPRODUCT((A$3:A629=A630)*(C$3:C629="Compra")*D$3:D629)))*D630,0),"")</f>
        <v/>
      </c>
      <c r="H630" s="12" t="str">
        <f aca="false">IF(C630="Venda",E630*D630,"")</f>
        <v/>
      </c>
    </row>
    <row r="631" customFormat="false" ht="15" hidden="false" customHeight="false" outlineLevel="0" collapsed="false">
      <c r="A631" s="14" t="str">
        <f aca="false">IF(Transações!C631&lt;&gt;"",Transações!C631,"")</f>
        <v/>
      </c>
      <c r="B631" s="14" t="str">
        <f aca="false">IF(Transações!A631&lt;&gt;"",Transações!A631,"")</f>
        <v/>
      </c>
      <c r="C631" s="14" t="str">
        <f aca="false">IF(Transações!B631&lt;&gt;"",Transações!B631,"")</f>
        <v/>
      </c>
      <c r="D631" s="15" t="str">
        <f aca="false">IF(Transações!D631&lt;&gt;"",Transações!D631,"")</f>
        <v/>
      </c>
      <c r="E631" s="16" t="str">
        <f aca="false">IF(Transações!E631&lt;&gt;"",Transações!E631,"")</f>
        <v/>
      </c>
      <c r="F631" s="7" t="str">
        <f aca="false">IF(C631="Compra",D631*E631,IF(C631="Staking",D631*E631,""))</f>
        <v/>
      </c>
      <c r="G631" s="7" t="str">
        <f aca="false">IF(C631="Venda",IF(COUNTIF(A$3:A630,A631)&gt;0,(E631-SUMPRODUCT((A$3:A630=A631)*(C$3:C630="Compra")*F$3:F630)/IF(SUMPRODUCT((A$3:A630=A631)*(C$3:C630="Compra")*D$3:D630)=0,1,SUMPRODUCT((A$3:A630=A631)*(C$3:C630="Compra")*D$3:D630)))*D631,0),"")</f>
        <v/>
      </c>
      <c r="H631" s="7" t="str">
        <f aca="false">IF(C631="Venda",E631*D631,"")</f>
        <v/>
      </c>
    </row>
    <row r="632" customFormat="false" ht="15" hidden="false" customHeight="false" outlineLevel="0" collapsed="false">
      <c r="A632" s="17" t="str">
        <f aca="false">IF(Transações!C632&lt;&gt;"",Transações!C632,"")</f>
        <v/>
      </c>
      <c r="B632" s="17" t="str">
        <f aca="false">IF(Transações!A632&lt;&gt;"",Transações!A632,"")</f>
        <v/>
      </c>
      <c r="C632" s="17" t="str">
        <f aca="false">IF(Transações!B632&lt;&gt;"",Transações!B632,"")</f>
        <v/>
      </c>
      <c r="D632" s="18" t="str">
        <f aca="false">IF(Transações!D632&lt;&gt;"",Transações!D632,"")</f>
        <v/>
      </c>
      <c r="E632" s="19" t="str">
        <f aca="false">IF(Transações!E632&lt;&gt;"",Transações!E632,"")</f>
        <v/>
      </c>
      <c r="F632" s="12" t="str">
        <f aca="false">IF(C632="Compra",D632*E632,IF(C632="Staking",D632*E632,""))</f>
        <v/>
      </c>
      <c r="G632" s="12" t="str">
        <f aca="false">IF(C632="Venda",IF(COUNTIF(A$3:A631,A632)&gt;0,(E632-SUMPRODUCT((A$3:A631=A632)*(C$3:C631="Compra")*F$3:F631)/IF(SUMPRODUCT((A$3:A631=A632)*(C$3:C631="Compra")*D$3:D631)=0,1,SUMPRODUCT((A$3:A631=A632)*(C$3:C631="Compra")*D$3:D631)))*D632,0),"")</f>
        <v/>
      </c>
      <c r="H632" s="12" t="str">
        <f aca="false">IF(C632="Venda",E632*D632,"")</f>
        <v/>
      </c>
    </row>
    <row r="633" customFormat="false" ht="15" hidden="false" customHeight="false" outlineLevel="0" collapsed="false">
      <c r="A633" s="14" t="str">
        <f aca="false">IF(Transações!C633&lt;&gt;"",Transações!C633,"")</f>
        <v/>
      </c>
      <c r="B633" s="14" t="str">
        <f aca="false">IF(Transações!A633&lt;&gt;"",Transações!A633,"")</f>
        <v/>
      </c>
      <c r="C633" s="14" t="str">
        <f aca="false">IF(Transações!B633&lt;&gt;"",Transações!B633,"")</f>
        <v/>
      </c>
      <c r="D633" s="15" t="str">
        <f aca="false">IF(Transações!D633&lt;&gt;"",Transações!D633,"")</f>
        <v/>
      </c>
      <c r="E633" s="16" t="str">
        <f aca="false">IF(Transações!E633&lt;&gt;"",Transações!E633,"")</f>
        <v/>
      </c>
      <c r="F633" s="7" t="str">
        <f aca="false">IF(C633="Compra",D633*E633,IF(C633="Staking",D633*E633,""))</f>
        <v/>
      </c>
      <c r="G633" s="7" t="str">
        <f aca="false">IF(C633="Venda",IF(COUNTIF(A$3:A632,A633)&gt;0,(E633-SUMPRODUCT((A$3:A632=A633)*(C$3:C632="Compra")*F$3:F632)/IF(SUMPRODUCT((A$3:A632=A633)*(C$3:C632="Compra")*D$3:D632)=0,1,SUMPRODUCT((A$3:A632=A633)*(C$3:C632="Compra")*D$3:D632)))*D633,0),"")</f>
        <v/>
      </c>
      <c r="H633" s="7" t="str">
        <f aca="false">IF(C633="Venda",E633*D633,"")</f>
        <v/>
      </c>
    </row>
    <row r="634" customFormat="false" ht="15" hidden="false" customHeight="false" outlineLevel="0" collapsed="false">
      <c r="A634" s="17" t="str">
        <f aca="false">IF(Transações!C634&lt;&gt;"",Transações!C634,"")</f>
        <v/>
      </c>
      <c r="B634" s="17" t="str">
        <f aca="false">IF(Transações!A634&lt;&gt;"",Transações!A634,"")</f>
        <v/>
      </c>
      <c r="C634" s="17" t="str">
        <f aca="false">IF(Transações!B634&lt;&gt;"",Transações!B634,"")</f>
        <v/>
      </c>
      <c r="D634" s="18" t="str">
        <f aca="false">IF(Transações!D634&lt;&gt;"",Transações!D634,"")</f>
        <v/>
      </c>
      <c r="E634" s="19" t="str">
        <f aca="false">IF(Transações!E634&lt;&gt;"",Transações!E634,"")</f>
        <v/>
      </c>
      <c r="F634" s="12" t="str">
        <f aca="false">IF(C634="Compra",D634*E634,IF(C634="Staking",D634*E634,""))</f>
        <v/>
      </c>
      <c r="G634" s="12" t="str">
        <f aca="false">IF(C634="Venda",IF(COUNTIF(A$3:A633,A634)&gt;0,(E634-SUMPRODUCT((A$3:A633=A634)*(C$3:C633="Compra")*F$3:F633)/IF(SUMPRODUCT((A$3:A633=A634)*(C$3:C633="Compra")*D$3:D633)=0,1,SUMPRODUCT((A$3:A633=A634)*(C$3:C633="Compra")*D$3:D633)))*D634,0),"")</f>
        <v/>
      </c>
      <c r="H634" s="12" t="str">
        <f aca="false">IF(C634="Venda",E634*D634,"")</f>
        <v/>
      </c>
    </row>
    <row r="635" customFormat="false" ht="15" hidden="false" customHeight="false" outlineLevel="0" collapsed="false">
      <c r="A635" s="14" t="str">
        <f aca="false">IF(Transações!C635&lt;&gt;"",Transações!C635,"")</f>
        <v/>
      </c>
      <c r="B635" s="14" t="str">
        <f aca="false">IF(Transações!A635&lt;&gt;"",Transações!A635,"")</f>
        <v/>
      </c>
      <c r="C635" s="14" t="str">
        <f aca="false">IF(Transações!B635&lt;&gt;"",Transações!B635,"")</f>
        <v/>
      </c>
      <c r="D635" s="15" t="str">
        <f aca="false">IF(Transações!D635&lt;&gt;"",Transações!D635,"")</f>
        <v/>
      </c>
      <c r="E635" s="16" t="str">
        <f aca="false">IF(Transações!E635&lt;&gt;"",Transações!E635,"")</f>
        <v/>
      </c>
      <c r="F635" s="7" t="str">
        <f aca="false">IF(C635="Compra",D635*E635,IF(C635="Staking",D635*E635,""))</f>
        <v/>
      </c>
      <c r="G635" s="7" t="str">
        <f aca="false">IF(C635="Venda",IF(COUNTIF(A$3:A634,A635)&gt;0,(E635-SUMPRODUCT((A$3:A634=A635)*(C$3:C634="Compra")*F$3:F634)/IF(SUMPRODUCT((A$3:A634=A635)*(C$3:C634="Compra")*D$3:D634)=0,1,SUMPRODUCT((A$3:A634=A635)*(C$3:C634="Compra")*D$3:D634)))*D635,0),"")</f>
        <v/>
      </c>
      <c r="H635" s="7" t="str">
        <f aca="false">IF(C635="Venda",E635*D635,"")</f>
        <v/>
      </c>
    </row>
    <row r="636" customFormat="false" ht="15" hidden="false" customHeight="false" outlineLevel="0" collapsed="false">
      <c r="A636" s="17" t="str">
        <f aca="false">IF(Transações!C636&lt;&gt;"",Transações!C636,"")</f>
        <v/>
      </c>
      <c r="B636" s="17" t="str">
        <f aca="false">IF(Transações!A636&lt;&gt;"",Transações!A636,"")</f>
        <v/>
      </c>
      <c r="C636" s="17" t="str">
        <f aca="false">IF(Transações!B636&lt;&gt;"",Transações!B636,"")</f>
        <v/>
      </c>
      <c r="D636" s="18" t="str">
        <f aca="false">IF(Transações!D636&lt;&gt;"",Transações!D636,"")</f>
        <v/>
      </c>
      <c r="E636" s="19" t="str">
        <f aca="false">IF(Transações!E636&lt;&gt;"",Transações!E636,"")</f>
        <v/>
      </c>
      <c r="F636" s="12" t="str">
        <f aca="false">IF(C636="Compra",D636*E636,IF(C636="Staking",D636*E636,""))</f>
        <v/>
      </c>
      <c r="G636" s="12" t="str">
        <f aca="false">IF(C636="Venda",IF(COUNTIF(A$3:A635,A636)&gt;0,(E636-SUMPRODUCT((A$3:A635=A636)*(C$3:C635="Compra")*F$3:F635)/IF(SUMPRODUCT((A$3:A635=A636)*(C$3:C635="Compra")*D$3:D635)=0,1,SUMPRODUCT((A$3:A635=A636)*(C$3:C635="Compra")*D$3:D635)))*D636,0),"")</f>
        <v/>
      </c>
      <c r="H636" s="12" t="str">
        <f aca="false">IF(C636="Venda",E636*D636,"")</f>
        <v/>
      </c>
    </row>
    <row r="637" customFormat="false" ht="15" hidden="false" customHeight="false" outlineLevel="0" collapsed="false">
      <c r="A637" s="14" t="str">
        <f aca="false">IF(Transações!C637&lt;&gt;"",Transações!C637,"")</f>
        <v/>
      </c>
      <c r="B637" s="14" t="str">
        <f aca="false">IF(Transações!A637&lt;&gt;"",Transações!A637,"")</f>
        <v/>
      </c>
      <c r="C637" s="14" t="str">
        <f aca="false">IF(Transações!B637&lt;&gt;"",Transações!B637,"")</f>
        <v/>
      </c>
      <c r="D637" s="15" t="str">
        <f aca="false">IF(Transações!D637&lt;&gt;"",Transações!D637,"")</f>
        <v/>
      </c>
      <c r="E637" s="16" t="str">
        <f aca="false">IF(Transações!E637&lt;&gt;"",Transações!E637,"")</f>
        <v/>
      </c>
      <c r="F637" s="7" t="str">
        <f aca="false">IF(C637="Compra",D637*E637,IF(C637="Staking",D637*E637,""))</f>
        <v/>
      </c>
      <c r="G637" s="7" t="str">
        <f aca="false">IF(C637="Venda",IF(COUNTIF(A$3:A636,A637)&gt;0,(E637-SUMPRODUCT((A$3:A636=A637)*(C$3:C636="Compra")*F$3:F636)/IF(SUMPRODUCT((A$3:A636=A637)*(C$3:C636="Compra")*D$3:D636)=0,1,SUMPRODUCT((A$3:A636=A637)*(C$3:C636="Compra")*D$3:D636)))*D637,0),"")</f>
        <v/>
      </c>
      <c r="H637" s="7" t="str">
        <f aca="false">IF(C637="Venda",E637*D637,"")</f>
        <v/>
      </c>
    </row>
    <row r="638" customFormat="false" ht="15" hidden="false" customHeight="false" outlineLevel="0" collapsed="false">
      <c r="A638" s="17" t="str">
        <f aca="false">IF(Transações!C638&lt;&gt;"",Transações!C638,"")</f>
        <v/>
      </c>
      <c r="B638" s="17" t="str">
        <f aca="false">IF(Transações!A638&lt;&gt;"",Transações!A638,"")</f>
        <v/>
      </c>
      <c r="C638" s="17" t="str">
        <f aca="false">IF(Transações!B638&lt;&gt;"",Transações!B638,"")</f>
        <v/>
      </c>
      <c r="D638" s="18" t="str">
        <f aca="false">IF(Transações!D638&lt;&gt;"",Transações!D638,"")</f>
        <v/>
      </c>
      <c r="E638" s="19" t="str">
        <f aca="false">IF(Transações!E638&lt;&gt;"",Transações!E638,"")</f>
        <v/>
      </c>
      <c r="F638" s="12" t="str">
        <f aca="false">IF(C638="Compra",D638*E638,IF(C638="Staking",D638*E638,""))</f>
        <v/>
      </c>
      <c r="G638" s="12" t="str">
        <f aca="false">IF(C638="Venda",IF(COUNTIF(A$3:A637,A638)&gt;0,(E638-SUMPRODUCT((A$3:A637=A638)*(C$3:C637="Compra")*F$3:F637)/IF(SUMPRODUCT((A$3:A637=A638)*(C$3:C637="Compra")*D$3:D637)=0,1,SUMPRODUCT((A$3:A637=A638)*(C$3:C637="Compra")*D$3:D637)))*D638,0),"")</f>
        <v/>
      </c>
      <c r="H638" s="12" t="str">
        <f aca="false">IF(C638="Venda",E638*D638,"")</f>
        <v/>
      </c>
    </row>
    <row r="639" customFormat="false" ht="15" hidden="false" customHeight="false" outlineLevel="0" collapsed="false">
      <c r="A639" s="14" t="str">
        <f aca="false">IF(Transações!C639&lt;&gt;"",Transações!C639,"")</f>
        <v/>
      </c>
      <c r="B639" s="14" t="str">
        <f aca="false">IF(Transações!A639&lt;&gt;"",Transações!A639,"")</f>
        <v/>
      </c>
      <c r="C639" s="14" t="str">
        <f aca="false">IF(Transações!B639&lt;&gt;"",Transações!B639,"")</f>
        <v/>
      </c>
      <c r="D639" s="15" t="str">
        <f aca="false">IF(Transações!D639&lt;&gt;"",Transações!D639,"")</f>
        <v/>
      </c>
      <c r="E639" s="16" t="str">
        <f aca="false">IF(Transações!E639&lt;&gt;"",Transações!E639,"")</f>
        <v/>
      </c>
      <c r="F639" s="7" t="str">
        <f aca="false">IF(C639="Compra",D639*E639,IF(C639="Staking",D639*E639,""))</f>
        <v/>
      </c>
      <c r="G639" s="7" t="str">
        <f aca="false">IF(C639="Venda",IF(COUNTIF(A$3:A638,A639)&gt;0,(E639-SUMPRODUCT((A$3:A638=A639)*(C$3:C638="Compra")*F$3:F638)/IF(SUMPRODUCT((A$3:A638=A639)*(C$3:C638="Compra")*D$3:D638)=0,1,SUMPRODUCT((A$3:A638=A639)*(C$3:C638="Compra")*D$3:D638)))*D639,0),"")</f>
        <v/>
      </c>
      <c r="H639" s="7" t="str">
        <f aca="false">IF(C639="Venda",E639*D639,"")</f>
        <v/>
      </c>
    </row>
    <row r="640" customFormat="false" ht="15" hidden="false" customHeight="false" outlineLevel="0" collapsed="false">
      <c r="A640" s="17" t="str">
        <f aca="false">IF(Transações!C640&lt;&gt;"",Transações!C640,"")</f>
        <v/>
      </c>
      <c r="B640" s="17" t="str">
        <f aca="false">IF(Transações!A640&lt;&gt;"",Transações!A640,"")</f>
        <v/>
      </c>
      <c r="C640" s="17" t="str">
        <f aca="false">IF(Transações!B640&lt;&gt;"",Transações!B640,"")</f>
        <v/>
      </c>
      <c r="D640" s="18" t="str">
        <f aca="false">IF(Transações!D640&lt;&gt;"",Transações!D640,"")</f>
        <v/>
      </c>
      <c r="E640" s="19" t="str">
        <f aca="false">IF(Transações!E640&lt;&gt;"",Transações!E640,"")</f>
        <v/>
      </c>
      <c r="F640" s="12" t="str">
        <f aca="false">IF(C640="Compra",D640*E640,IF(C640="Staking",D640*E640,""))</f>
        <v/>
      </c>
      <c r="G640" s="12" t="str">
        <f aca="false">IF(C640="Venda",IF(COUNTIF(A$3:A639,A640)&gt;0,(E640-SUMPRODUCT((A$3:A639=A640)*(C$3:C639="Compra")*F$3:F639)/IF(SUMPRODUCT((A$3:A639=A640)*(C$3:C639="Compra")*D$3:D639)=0,1,SUMPRODUCT((A$3:A639=A640)*(C$3:C639="Compra")*D$3:D639)))*D640,0),"")</f>
        <v/>
      </c>
      <c r="H640" s="12" t="str">
        <f aca="false">IF(C640="Venda",E640*D640,"")</f>
        <v/>
      </c>
    </row>
    <row r="641" customFormat="false" ht="15" hidden="false" customHeight="false" outlineLevel="0" collapsed="false">
      <c r="A641" s="14" t="str">
        <f aca="false">IF(Transações!C641&lt;&gt;"",Transações!C641,"")</f>
        <v/>
      </c>
      <c r="B641" s="14" t="str">
        <f aca="false">IF(Transações!A641&lt;&gt;"",Transações!A641,"")</f>
        <v/>
      </c>
      <c r="C641" s="14" t="str">
        <f aca="false">IF(Transações!B641&lt;&gt;"",Transações!B641,"")</f>
        <v/>
      </c>
      <c r="D641" s="15" t="str">
        <f aca="false">IF(Transações!D641&lt;&gt;"",Transações!D641,"")</f>
        <v/>
      </c>
      <c r="E641" s="16" t="str">
        <f aca="false">IF(Transações!E641&lt;&gt;"",Transações!E641,"")</f>
        <v/>
      </c>
      <c r="F641" s="7" t="str">
        <f aca="false">IF(C641="Compra",D641*E641,IF(C641="Staking",D641*E641,""))</f>
        <v/>
      </c>
      <c r="G641" s="7" t="str">
        <f aca="false">IF(C641="Venda",IF(COUNTIF(A$3:A640,A641)&gt;0,(E641-SUMPRODUCT((A$3:A640=A641)*(C$3:C640="Compra")*F$3:F640)/IF(SUMPRODUCT((A$3:A640=A641)*(C$3:C640="Compra")*D$3:D640)=0,1,SUMPRODUCT((A$3:A640=A641)*(C$3:C640="Compra")*D$3:D640)))*D641,0),"")</f>
        <v/>
      </c>
      <c r="H641" s="7" t="str">
        <f aca="false">IF(C641="Venda",E641*D641,"")</f>
        <v/>
      </c>
    </row>
    <row r="642" customFormat="false" ht="15" hidden="false" customHeight="false" outlineLevel="0" collapsed="false">
      <c r="A642" s="17" t="str">
        <f aca="false">IF(Transações!C642&lt;&gt;"",Transações!C642,"")</f>
        <v/>
      </c>
      <c r="B642" s="17" t="str">
        <f aca="false">IF(Transações!A642&lt;&gt;"",Transações!A642,"")</f>
        <v/>
      </c>
      <c r="C642" s="17" t="str">
        <f aca="false">IF(Transações!B642&lt;&gt;"",Transações!B642,"")</f>
        <v/>
      </c>
      <c r="D642" s="18" t="str">
        <f aca="false">IF(Transações!D642&lt;&gt;"",Transações!D642,"")</f>
        <v/>
      </c>
      <c r="E642" s="19" t="str">
        <f aca="false">IF(Transações!E642&lt;&gt;"",Transações!E642,"")</f>
        <v/>
      </c>
      <c r="F642" s="12" t="str">
        <f aca="false">IF(C642="Compra",D642*E642,IF(C642="Staking",D642*E642,""))</f>
        <v/>
      </c>
      <c r="G642" s="12" t="str">
        <f aca="false">IF(C642="Venda",IF(COUNTIF(A$3:A641,A642)&gt;0,(E642-SUMPRODUCT((A$3:A641=A642)*(C$3:C641="Compra")*F$3:F641)/IF(SUMPRODUCT((A$3:A641=A642)*(C$3:C641="Compra")*D$3:D641)=0,1,SUMPRODUCT((A$3:A641=A642)*(C$3:C641="Compra")*D$3:D641)))*D642,0),"")</f>
        <v/>
      </c>
      <c r="H642" s="12" t="str">
        <f aca="false">IF(C642="Venda",E642*D642,"")</f>
        <v/>
      </c>
    </row>
    <row r="643" customFormat="false" ht="15" hidden="false" customHeight="false" outlineLevel="0" collapsed="false">
      <c r="A643" s="14" t="str">
        <f aca="false">IF(Transações!C643&lt;&gt;"",Transações!C643,"")</f>
        <v/>
      </c>
      <c r="B643" s="14" t="str">
        <f aca="false">IF(Transações!A643&lt;&gt;"",Transações!A643,"")</f>
        <v/>
      </c>
      <c r="C643" s="14" t="str">
        <f aca="false">IF(Transações!B643&lt;&gt;"",Transações!B643,"")</f>
        <v/>
      </c>
      <c r="D643" s="15" t="str">
        <f aca="false">IF(Transações!D643&lt;&gt;"",Transações!D643,"")</f>
        <v/>
      </c>
      <c r="E643" s="16" t="str">
        <f aca="false">IF(Transações!E643&lt;&gt;"",Transações!E643,"")</f>
        <v/>
      </c>
      <c r="F643" s="7" t="str">
        <f aca="false">IF(C643="Compra",D643*E643,IF(C643="Staking",D643*E643,""))</f>
        <v/>
      </c>
      <c r="G643" s="7" t="str">
        <f aca="false">IF(C643="Venda",IF(COUNTIF(A$3:A642,A643)&gt;0,(E643-SUMPRODUCT((A$3:A642=A643)*(C$3:C642="Compra")*F$3:F642)/IF(SUMPRODUCT((A$3:A642=A643)*(C$3:C642="Compra")*D$3:D642)=0,1,SUMPRODUCT((A$3:A642=A643)*(C$3:C642="Compra")*D$3:D642)))*D643,0),"")</f>
        <v/>
      </c>
      <c r="H643" s="7" t="str">
        <f aca="false">IF(C643="Venda",E643*D643,"")</f>
        <v/>
      </c>
    </row>
    <row r="644" customFormat="false" ht="15" hidden="false" customHeight="false" outlineLevel="0" collapsed="false">
      <c r="A644" s="17" t="str">
        <f aca="false">IF(Transações!C644&lt;&gt;"",Transações!C644,"")</f>
        <v/>
      </c>
      <c r="B644" s="17" t="str">
        <f aca="false">IF(Transações!A644&lt;&gt;"",Transações!A644,"")</f>
        <v/>
      </c>
      <c r="C644" s="17" t="str">
        <f aca="false">IF(Transações!B644&lt;&gt;"",Transações!B644,"")</f>
        <v/>
      </c>
      <c r="D644" s="18" t="str">
        <f aca="false">IF(Transações!D644&lt;&gt;"",Transações!D644,"")</f>
        <v/>
      </c>
      <c r="E644" s="19" t="str">
        <f aca="false">IF(Transações!E644&lt;&gt;"",Transações!E644,"")</f>
        <v/>
      </c>
      <c r="F644" s="12" t="str">
        <f aca="false">IF(C644="Compra",D644*E644,IF(C644="Staking",D644*E644,""))</f>
        <v/>
      </c>
      <c r="G644" s="12" t="str">
        <f aca="false">IF(C644="Venda",IF(COUNTIF(A$3:A643,A644)&gt;0,(E644-SUMPRODUCT((A$3:A643=A644)*(C$3:C643="Compra")*F$3:F643)/IF(SUMPRODUCT((A$3:A643=A644)*(C$3:C643="Compra")*D$3:D643)=0,1,SUMPRODUCT((A$3:A643=A644)*(C$3:C643="Compra")*D$3:D643)))*D644,0),"")</f>
        <v/>
      </c>
      <c r="H644" s="12" t="str">
        <f aca="false">IF(C644="Venda",E644*D644,"")</f>
        <v/>
      </c>
    </row>
    <row r="645" customFormat="false" ht="15" hidden="false" customHeight="false" outlineLevel="0" collapsed="false">
      <c r="A645" s="14" t="str">
        <f aca="false">IF(Transações!C645&lt;&gt;"",Transações!C645,"")</f>
        <v/>
      </c>
      <c r="B645" s="14" t="str">
        <f aca="false">IF(Transações!A645&lt;&gt;"",Transações!A645,"")</f>
        <v/>
      </c>
      <c r="C645" s="14" t="str">
        <f aca="false">IF(Transações!B645&lt;&gt;"",Transações!B645,"")</f>
        <v/>
      </c>
      <c r="D645" s="15" t="str">
        <f aca="false">IF(Transações!D645&lt;&gt;"",Transações!D645,"")</f>
        <v/>
      </c>
      <c r="E645" s="16" t="str">
        <f aca="false">IF(Transações!E645&lt;&gt;"",Transações!E645,"")</f>
        <v/>
      </c>
      <c r="F645" s="7" t="str">
        <f aca="false">IF(C645="Compra",D645*E645,IF(C645="Staking",D645*E645,""))</f>
        <v/>
      </c>
      <c r="G645" s="7" t="str">
        <f aca="false">IF(C645="Venda",IF(COUNTIF(A$3:A644,A645)&gt;0,(E645-SUMPRODUCT((A$3:A644=A645)*(C$3:C644="Compra")*F$3:F644)/IF(SUMPRODUCT((A$3:A644=A645)*(C$3:C644="Compra")*D$3:D644)=0,1,SUMPRODUCT((A$3:A644=A645)*(C$3:C644="Compra")*D$3:D644)))*D645,0),"")</f>
        <v/>
      </c>
      <c r="H645" s="7" t="str">
        <f aca="false">IF(C645="Venda",E645*D645,"")</f>
        <v/>
      </c>
    </row>
    <row r="646" customFormat="false" ht="15" hidden="false" customHeight="false" outlineLevel="0" collapsed="false">
      <c r="A646" s="17" t="str">
        <f aca="false">IF(Transações!C646&lt;&gt;"",Transações!C646,"")</f>
        <v/>
      </c>
      <c r="B646" s="17" t="str">
        <f aca="false">IF(Transações!A646&lt;&gt;"",Transações!A646,"")</f>
        <v/>
      </c>
      <c r="C646" s="17" t="str">
        <f aca="false">IF(Transações!B646&lt;&gt;"",Transações!B646,"")</f>
        <v/>
      </c>
      <c r="D646" s="18" t="str">
        <f aca="false">IF(Transações!D646&lt;&gt;"",Transações!D646,"")</f>
        <v/>
      </c>
      <c r="E646" s="19" t="str">
        <f aca="false">IF(Transações!E646&lt;&gt;"",Transações!E646,"")</f>
        <v/>
      </c>
      <c r="F646" s="12" t="str">
        <f aca="false">IF(C646="Compra",D646*E646,IF(C646="Staking",D646*E646,""))</f>
        <v/>
      </c>
      <c r="G646" s="12" t="str">
        <f aca="false">IF(C646="Venda",IF(COUNTIF(A$3:A645,A646)&gt;0,(E646-SUMPRODUCT((A$3:A645=A646)*(C$3:C645="Compra")*F$3:F645)/IF(SUMPRODUCT((A$3:A645=A646)*(C$3:C645="Compra")*D$3:D645)=0,1,SUMPRODUCT((A$3:A645=A646)*(C$3:C645="Compra")*D$3:D645)))*D646,0),"")</f>
        <v/>
      </c>
      <c r="H646" s="12" t="str">
        <f aca="false">IF(C646="Venda",E646*D646,"")</f>
        <v/>
      </c>
    </row>
    <row r="647" customFormat="false" ht="15" hidden="false" customHeight="false" outlineLevel="0" collapsed="false">
      <c r="A647" s="14" t="str">
        <f aca="false">IF(Transações!C647&lt;&gt;"",Transações!C647,"")</f>
        <v/>
      </c>
      <c r="B647" s="14" t="str">
        <f aca="false">IF(Transações!A647&lt;&gt;"",Transações!A647,"")</f>
        <v/>
      </c>
      <c r="C647" s="14" t="str">
        <f aca="false">IF(Transações!B647&lt;&gt;"",Transações!B647,"")</f>
        <v/>
      </c>
      <c r="D647" s="15" t="str">
        <f aca="false">IF(Transações!D647&lt;&gt;"",Transações!D647,"")</f>
        <v/>
      </c>
      <c r="E647" s="16" t="str">
        <f aca="false">IF(Transações!E647&lt;&gt;"",Transações!E647,"")</f>
        <v/>
      </c>
      <c r="F647" s="7" t="str">
        <f aca="false">IF(C647="Compra",D647*E647,IF(C647="Staking",D647*E647,""))</f>
        <v/>
      </c>
      <c r="G647" s="7" t="str">
        <f aca="false">IF(C647="Venda",IF(COUNTIF(A$3:A646,A647)&gt;0,(E647-SUMPRODUCT((A$3:A646=A647)*(C$3:C646="Compra")*F$3:F646)/IF(SUMPRODUCT((A$3:A646=A647)*(C$3:C646="Compra")*D$3:D646)=0,1,SUMPRODUCT((A$3:A646=A647)*(C$3:C646="Compra")*D$3:D646)))*D647,0),"")</f>
        <v/>
      </c>
      <c r="H647" s="7" t="str">
        <f aca="false">IF(C647="Venda",E647*D647,"")</f>
        <v/>
      </c>
    </row>
    <row r="648" customFormat="false" ht="15" hidden="false" customHeight="false" outlineLevel="0" collapsed="false">
      <c r="A648" s="17" t="str">
        <f aca="false">IF(Transações!C648&lt;&gt;"",Transações!C648,"")</f>
        <v/>
      </c>
      <c r="B648" s="17" t="str">
        <f aca="false">IF(Transações!A648&lt;&gt;"",Transações!A648,"")</f>
        <v/>
      </c>
      <c r="C648" s="17" t="str">
        <f aca="false">IF(Transações!B648&lt;&gt;"",Transações!B648,"")</f>
        <v/>
      </c>
      <c r="D648" s="18" t="str">
        <f aca="false">IF(Transações!D648&lt;&gt;"",Transações!D648,"")</f>
        <v/>
      </c>
      <c r="E648" s="19" t="str">
        <f aca="false">IF(Transações!E648&lt;&gt;"",Transações!E648,"")</f>
        <v/>
      </c>
      <c r="F648" s="12" t="str">
        <f aca="false">IF(C648="Compra",D648*E648,IF(C648="Staking",D648*E648,""))</f>
        <v/>
      </c>
      <c r="G648" s="12" t="str">
        <f aca="false">IF(C648="Venda",IF(COUNTIF(A$3:A647,A648)&gt;0,(E648-SUMPRODUCT((A$3:A647=A648)*(C$3:C647="Compra")*F$3:F647)/IF(SUMPRODUCT((A$3:A647=A648)*(C$3:C647="Compra")*D$3:D647)=0,1,SUMPRODUCT((A$3:A647=A648)*(C$3:C647="Compra")*D$3:D647)))*D648,0),"")</f>
        <v/>
      </c>
      <c r="H648" s="12" t="str">
        <f aca="false">IF(C648="Venda",E648*D648,"")</f>
        <v/>
      </c>
    </row>
    <row r="649" customFormat="false" ht="15" hidden="false" customHeight="false" outlineLevel="0" collapsed="false">
      <c r="A649" s="14" t="str">
        <f aca="false">IF(Transações!C649&lt;&gt;"",Transações!C649,"")</f>
        <v/>
      </c>
      <c r="B649" s="14" t="str">
        <f aca="false">IF(Transações!A649&lt;&gt;"",Transações!A649,"")</f>
        <v/>
      </c>
      <c r="C649" s="14" t="str">
        <f aca="false">IF(Transações!B649&lt;&gt;"",Transações!B649,"")</f>
        <v/>
      </c>
      <c r="D649" s="15" t="str">
        <f aca="false">IF(Transações!D649&lt;&gt;"",Transações!D649,"")</f>
        <v/>
      </c>
      <c r="E649" s="16" t="str">
        <f aca="false">IF(Transações!E649&lt;&gt;"",Transações!E649,"")</f>
        <v/>
      </c>
      <c r="F649" s="7" t="str">
        <f aca="false">IF(C649="Compra",D649*E649,IF(C649="Staking",D649*E649,""))</f>
        <v/>
      </c>
      <c r="G649" s="7" t="str">
        <f aca="false">IF(C649="Venda",IF(COUNTIF(A$3:A648,A649)&gt;0,(E649-SUMPRODUCT((A$3:A648=A649)*(C$3:C648="Compra")*F$3:F648)/IF(SUMPRODUCT((A$3:A648=A649)*(C$3:C648="Compra")*D$3:D648)=0,1,SUMPRODUCT((A$3:A648=A649)*(C$3:C648="Compra")*D$3:D648)))*D649,0),"")</f>
        <v/>
      </c>
      <c r="H649" s="7" t="str">
        <f aca="false">IF(C649="Venda",E649*D649,"")</f>
        <v/>
      </c>
    </row>
    <row r="650" customFormat="false" ht="15" hidden="false" customHeight="false" outlineLevel="0" collapsed="false">
      <c r="A650" s="17" t="str">
        <f aca="false">IF(Transações!C650&lt;&gt;"",Transações!C650,"")</f>
        <v/>
      </c>
      <c r="B650" s="17" t="str">
        <f aca="false">IF(Transações!A650&lt;&gt;"",Transações!A650,"")</f>
        <v/>
      </c>
      <c r="C650" s="17" t="str">
        <f aca="false">IF(Transações!B650&lt;&gt;"",Transações!B650,"")</f>
        <v/>
      </c>
      <c r="D650" s="18" t="str">
        <f aca="false">IF(Transações!D650&lt;&gt;"",Transações!D650,"")</f>
        <v/>
      </c>
      <c r="E650" s="19" t="str">
        <f aca="false">IF(Transações!E650&lt;&gt;"",Transações!E650,"")</f>
        <v/>
      </c>
      <c r="F650" s="12" t="str">
        <f aca="false">IF(C650="Compra",D650*E650,IF(C650="Staking",D650*E650,""))</f>
        <v/>
      </c>
      <c r="G650" s="12" t="str">
        <f aca="false">IF(C650="Venda",IF(COUNTIF(A$3:A649,A650)&gt;0,(E650-SUMPRODUCT((A$3:A649=A650)*(C$3:C649="Compra")*F$3:F649)/IF(SUMPRODUCT((A$3:A649=A650)*(C$3:C649="Compra")*D$3:D649)=0,1,SUMPRODUCT((A$3:A649=A650)*(C$3:C649="Compra")*D$3:D649)))*D650,0),"")</f>
        <v/>
      </c>
      <c r="H650" s="12" t="str">
        <f aca="false">IF(C650="Venda",E650*D650,"")</f>
        <v/>
      </c>
    </row>
    <row r="651" customFormat="false" ht="15" hidden="false" customHeight="false" outlineLevel="0" collapsed="false">
      <c r="A651" s="14" t="str">
        <f aca="false">IF(Transações!C651&lt;&gt;"",Transações!C651,"")</f>
        <v/>
      </c>
      <c r="B651" s="14" t="str">
        <f aca="false">IF(Transações!A651&lt;&gt;"",Transações!A651,"")</f>
        <v/>
      </c>
      <c r="C651" s="14" t="str">
        <f aca="false">IF(Transações!B651&lt;&gt;"",Transações!B651,"")</f>
        <v/>
      </c>
      <c r="D651" s="15" t="str">
        <f aca="false">IF(Transações!D651&lt;&gt;"",Transações!D651,"")</f>
        <v/>
      </c>
      <c r="E651" s="16" t="str">
        <f aca="false">IF(Transações!E651&lt;&gt;"",Transações!E651,"")</f>
        <v/>
      </c>
      <c r="F651" s="7" t="str">
        <f aca="false">IF(C651="Compra",D651*E651,IF(C651="Staking",D651*E651,""))</f>
        <v/>
      </c>
      <c r="G651" s="7" t="str">
        <f aca="false">IF(C651="Venda",IF(COUNTIF(A$3:A650,A651)&gt;0,(E651-SUMPRODUCT((A$3:A650=A651)*(C$3:C650="Compra")*F$3:F650)/IF(SUMPRODUCT((A$3:A650=A651)*(C$3:C650="Compra")*D$3:D650)=0,1,SUMPRODUCT((A$3:A650=A651)*(C$3:C650="Compra")*D$3:D650)))*D651,0),"")</f>
        <v/>
      </c>
      <c r="H651" s="7" t="str">
        <f aca="false">IF(C651="Venda",E651*D651,"")</f>
        <v/>
      </c>
    </row>
    <row r="652" customFormat="false" ht="15" hidden="false" customHeight="false" outlineLevel="0" collapsed="false">
      <c r="A652" s="17" t="str">
        <f aca="false">IF(Transações!C652&lt;&gt;"",Transações!C652,"")</f>
        <v/>
      </c>
      <c r="B652" s="17" t="str">
        <f aca="false">IF(Transações!A652&lt;&gt;"",Transações!A652,"")</f>
        <v/>
      </c>
      <c r="C652" s="17" t="str">
        <f aca="false">IF(Transações!B652&lt;&gt;"",Transações!B652,"")</f>
        <v/>
      </c>
      <c r="D652" s="18" t="str">
        <f aca="false">IF(Transações!D652&lt;&gt;"",Transações!D652,"")</f>
        <v/>
      </c>
      <c r="E652" s="19" t="str">
        <f aca="false">IF(Transações!E652&lt;&gt;"",Transações!E652,"")</f>
        <v/>
      </c>
      <c r="F652" s="12" t="str">
        <f aca="false">IF(C652="Compra",D652*E652,IF(C652="Staking",D652*E652,""))</f>
        <v/>
      </c>
      <c r="G652" s="12" t="str">
        <f aca="false">IF(C652="Venda",IF(COUNTIF(A$3:A651,A652)&gt;0,(E652-SUMPRODUCT((A$3:A651=A652)*(C$3:C651="Compra")*F$3:F651)/IF(SUMPRODUCT((A$3:A651=A652)*(C$3:C651="Compra")*D$3:D651)=0,1,SUMPRODUCT((A$3:A651=A652)*(C$3:C651="Compra")*D$3:D651)))*D652,0),"")</f>
        <v/>
      </c>
      <c r="H652" s="12" t="str">
        <f aca="false">IF(C652="Venda",E652*D652,"")</f>
        <v/>
      </c>
    </row>
    <row r="653" customFormat="false" ht="15" hidden="false" customHeight="false" outlineLevel="0" collapsed="false">
      <c r="A653" s="14" t="str">
        <f aca="false">IF(Transações!C653&lt;&gt;"",Transações!C653,"")</f>
        <v/>
      </c>
      <c r="B653" s="14" t="str">
        <f aca="false">IF(Transações!A653&lt;&gt;"",Transações!A653,"")</f>
        <v/>
      </c>
      <c r="C653" s="14" t="str">
        <f aca="false">IF(Transações!B653&lt;&gt;"",Transações!B653,"")</f>
        <v/>
      </c>
      <c r="D653" s="15" t="str">
        <f aca="false">IF(Transações!D653&lt;&gt;"",Transações!D653,"")</f>
        <v/>
      </c>
      <c r="E653" s="16" t="str">
        <f aca="false">IF(Transações!E653&lt;&gt;"",Transações!E653,"")</f>
        <v/>
      </c>
      <c r="F653" s="7" t="str">
        <f aca="false">IF(C653="Compra",D653*E653,IF(C653="Staking",D653*E653,""))</f>
        <v/>
      </c>
      <c r="G653" s="7" t="str">
        <f aca="false">IF(C653="Venda",IF(COUNTIF(A$3:A652,A653)&gt;0,(E653-SUMPRODUCT((A$3:A652=A653)*(C$3:C652="Compra")*F$3:F652)/IF(SUMPRODUCT((A$3:A652=A653)*(C$3:C652="Compra")*D$3:D652)=0,1,SUMPRODUCT((A$3:A652=A653)*(C$3:C652="Compra")*D$3:D652)))*D653,0),"")</f>
        <v/>
      </c>
      <c r="H653" s="7" t="str">
        <f aca="false">IF(C653="Venda",E653*D653,"")</f>
        <v/>
      </c>
    </row>
    <row r="654" customFormat="false" ht="15" hidden="false" customHeight="false" outlineLevel="0" collapsed="false">
      <c r="A654" s="17" t="str">
        <f aca="false">IF(Transações!C654&lt;&gt;"",Transações!C654,"")</f>
        <v/>
      </c>
      <c r="B654" s="17" t="str">
        <f aca="false">IF(Transações!A654&lt;&gt;"",Transações!A654,"")</f>
        <v/>
      </c>
      <c r="C654" s="17" t="str">
        <f aca="false">IF(Transações!B654&lt;&gt;"",Transações!B654,"")</f>
        <v/>
      </c>
      <c r="D654" s="18" t="str">
        <f aca="false">IF(Transações!D654&lt;&gt;"",Transações!D654,"")</f>
        <v/>
      </c>
      <c r="E654" s="19" t="str">
        <f aca="false">IF(Transações!E654&lt;&gt;"",Transações!E654,"")</f>
        <v/>
      </c>
      <c r="F654" s="12" t="str">
        <f aca="false">IF(C654="Compra",D654*E654,IF(C654="Staking",D654*E654,""))</f>
        <v/>
      </c>
      <c r="G654" s="12" t="str">
        <f aca="false">IF(C654="Venda",IF(COUNTIF(A$3:A653,A654)&gt;0,(E654-SUMPRODUCT((A$3:A653=A654)*(C$3:C653="Compra")*F$3:F653)/IF(SUMPRODUCT((A$3:A653=A654)*(C$3:C653="Compra")*D$3:D653)=0,1,SUMPRODUCT((A$3:A653=A654)*(C$3:C653="Compra")*D$3:D653)))*D654,0),"")</f>
        <v/>
      </c>
      <c r="H654" s="12" t="str">
        <f aca="false">IF(C654="Venda",E654*D654,"")</f>
        <v/>
      </c>
    </row>
    <row r="655" customFormat="false" ht="15" hidden="false" customHeight="false" outlineLevel="0" collapsed="false">
      <c r="A655" s="14" t="str">
        <f aca="false">IF(Transações!C655&lt;&gt;"",Transações!C655,"")</f>
        <v/>
      </c>
      <c r="B655" s="14" t="str">
        <f aca="false">IF(Transações!A655&lt;&gt;"",Transações!A655,"")</f>
        <v/>
      </c>
      <c r="C655" s="14" t="str">
        <f aca="false">IF(Transações!B655&lt;&gt;"",Transações!B655,"")</f>
        <v/>
      </c>
      <c r="D655" s="15" t="str">
        <f aca="false">IF(Transações!D655&lt;&gt;"",Transações!D655,"")</f>
        <v/>
      </c>
      <c r="E655" s="16" t="str">
        <f aca="false">IF(Transações!E655&lt;&gt;"",Transações!E655,"")</f>
        <v/>
      </c>
      <c r="F655" s="7" t="str">
        <f aca="false">IF(C655="Compra",D655*E655,IF(C655="Staking",D655*E655,""))</f>
        <v/>
      </c>
      <c r="G655" s="7" t="str">
        <f aca="false">IF(C655="Venda",IF(COUNTIF(A$3:A654,A655)&gt;0,(E655-SUMPRODUCT((A$3:A654=A655)*(C$3:C654="Compra")*F$3:F654)/IF(SUMPRODUCT((A$3:A654=A655)*(C$3:C654="Compra")*D$3:D654)=0,1,SUMPRODUCT((A$3:A654=A655)*(C$3:C654="Compra")*D$3:D654)))*D655,0),"")</f>
        <v/>
      </c>
      <c r="H655" s="7" t="str">
        <f aca="false">IF(C655="Venda",E655*D655,"")</f>
        <v/>
      </c>
    </row>
    <row r="656" customFormat="false" ht="15" hidden="false" customHeight="false" outlineLevel="0" collapsed="false">
      <c r="A656" s="17" t="str">
        <f aca="false">IF(Transações!C656&lt;&gt;"",Transações!C656,"")</f>
        <v/>
      </c>
      <c r="B656" s="17" t="str">
        <f aca="false">IF(Transações!A656&lt;&gt;"",Transações!A656,"")</f>
        <v/>
      </c>
      <c r="C656" s="17" t="str">
        <f aca="false">IF(Transações!B656&lt;&gt;"",Transações!B656,"")</f>
        <v/>
      </c>
      <c r="D656" s="18" t="str">
        <f aca="false">IF(Transações!D656&lt;&gt;"",Transações!D656,"")</f>
        <v/>
      </c>
      <c r="E656" s="19" t="str">
        <f aca="false">IF(Transações!E656&lt;&gt;"",Transações!E656,"")</f>
        <v/>
      </c>
      <c r="F656" s="12" t="str">
        <f aca="false">IF(C656="Compra",D656*E656,IF(C656="Staking",D656*E656,""))</f>
        <v/>
      </c>
      <c r="G656" s="12" t="str">
        <f aca="false">IF(C656="Venda",IF(COUNTIF(A$3:A655,A656)&gt;0,(E656-SUMPRODUCT((A$3:A655=A656)*(C$3:C655="Compra")*F$3:F655)/IF(SUMPRODUCT((A$3:A655=A656)*(C$3:C655="Compra")*D$3:D655)=0,1,SUMPRODUCT((A$3:A655=A656)*(C$3:C655="Compra")*D$3:D655)))*D656,0),"")</f>
        <v/>
      </c>
      <c r="H656" s="12" t="str">
        <f aca="false">IF(C656="Venda",E656*D656,"")</f>
        <v/>
      </c>
    </row>
    <row r="657" customFormat="false" ht="15" hidden="false" customHeight="false" outlineLevel="0" collapsed="false">
      <c r="A657" s="14" t="str">
        <f aca="false">IF(Transações!C657&lt;&gt;"",Transações!C657,"")</f>
        <v/>
      </c>
      <c r="B657" s="14" t="str">
        <f aca="false">IF(Transações!A657&lt;&gt;"",Transações!A657,"")</f>
        <v/>
      </c>
      <c r="C657" s="14" t="str">
        <f aca="false">IF(Transações!B657&lt;&gt;"",Transações!B657,"")</f>
        <v/>
      </c>
      <c r="D657" s="15" t="str">
        <f aca="false">IF(Transações!D657&lt;&gt;"",Transações!D657,"")</f>
        <v/>
      </c>
      <c r="E657" s="16" t="str">
        <f aca="false">IF(Transações!E657&lt;&gt;"",Transações!E657,"")</f>
        <v/>
      </c>
      <c r="F657" s="7" t="str">
        <f aca="false">IF(C657="Compra",D657*E657,IF(C657="Staking",D657*E657,""))</f>
        <v/>
      </c>
      <c r="G657" s="7" t="str">
        <f aca="false">IF(C657="Venda",IF(COUNTIF(A$3:A656,A657)&gt;0,(E657-SUMPRODUCT((A$3:A656=A657)*(C$3:C656="Compra")*F$3:F656)/IF(SUMPRODUCT((A$3:A656=A657)*(C$3:C656="Compra")*D$3:D656)=0,1,SUMPRODUCT((A$3:A656=A657)*(C$3:C656="Compra")*D$3:D656)))*D657,0),"")</f>
        <v/>
      </c>
      <c r="H657" s="7" t="str">
        <f aca="false">IF(C657="Venda",E657*D657,"")</f>
        <v/>
      </c>
    </row>
    <row r="658" customFormat="false" ht="15" hidden="false" customHeight="false" outlineLevel="0" collapsed="false">
      <c r="A658" s="17" t="str">
        <f aca="false">IF(Transações!C658&lt;&gt;"",Transações!C658,"")</f>
        <v/>
      </c>
      <c r="B658" s="17" t="str">
        <f aca="false">IF(Transações!A658&lt;&gt;"",Transações!A658,"")</f>
        <v/>
      </c>
      <c r="C658" s="17" t="str">
        <f aca="false">IF(Transações!B658&lt;&gt;"",Transações!B658,"")</f>
        <v/>
      </c>
      <c r="D658" s="18" t="str">
        <f aca="false">IF(Transações!D658&lt;&gt;"",Transações!D658,"")</f>
        <v/>
      </c>
      <c r="E658" s="19" t="str">
        <f aca="false">IF(Transações!E658&lt;&gt;"",Transações!E658,"")</f>
        <v/>
      </c>
      <c r="F658" s="12" t="str">
        <f aca="false">IF(C658="Compra",D658*E658,IF(C658="Staking",D658*E658,""))</f>
        <v/>
      </c>
      <c r="G658" s="12" t="str">
        <f aca="false">IF(C658="Venda",IF(COUNTIF(A$3:A657,A658)&gt;0,(E658-SUMPRODUCT((A$3:A657=A658)*(C$3:C657="Compra")*F$3:F657)/IF(SUMPRODUCT((A$3:A657=A658)*(C$3:C657="Compra")*D$3:D657)=0,1,SUMPRODUCT((A$3:A657=A658)*(C$3:C657="Compra")*D$3:D657)))*D658,0),"")</f>
        <v/>
      </c>
      <c r="H658" s="12" t="str">
        <f aca="false">IF(C658="Venda",E658*D658,"")</f>
        <v/>
      </c>
    </row>
    <row r="659" customFormat="false" ht="15" hidden="false" customHeight="false" outlineLevel="0" collapsed="false">
      <c r="A659" s="14" t="str">
        <f aca="false">IF(Transações!C659&lt;&gt;"",Transações!C659,"")</f>
        <v/>
      </c>
      <c r="B659" s="14" t="str">
        <f aca="false">IF(Transações!A659&lt;&gt;"",Transações!A659,"")</f>
        <v/>
      </c>
      <c r="C659" s="14" t="str">
        <f aca="false">IF(Transações!B659&lt;&gt;"",Transações!B659,"")</f>
        <v/>
      </c>
      <c r="D659" s="15" t="str">
        <f aca="false">IF(Transações!D659&lt;&gt;"",Transações!D659,"")</f>
        <v/>
      </c>
      <c r="E659" s="16" t="str">
        <f aca="false">IF(Transações!E659&lt;&gt;"",Transações!E659,"")</f>
        <v/>
      </c>
      <c r="F659" s="7" t="str">
        <f aca="false">IF(C659="Compra",D659*E659,IF(C659="Staking",D659*E659,""))</f>
        <v/>
      </c>
      <c r="G659" s="7" t="str">
        <f aca="false">IF(C659="Venda",IF(COUNTIF(A$3:A658,A659)&gt;0,(E659-SUMPRODUCT((A$3:A658=A659)*(C$3:C658="Compra")*F$3:F658)/IF(SUMPRODUCT((A$3:A658=A659)*(C$3:C658="Compra")*D$3:D658)=0,1,SUMPRODUCT((A$3:A658=A659)*(C$3:C658="Compra")*D$3:D658)))*D659,0),"")</f>
        <v/>
      </c>
      <c r="H659" s="7" t="str">
        <f aca="false">IF(C659="Venda",E659*D659,"")</f>
        <v/>
      </c>
    </row>
    <row r="660" customFormat="false" ht="15" hidden="false" customHeight="false" outlineLevel="0" collapsed="false">
      <c r="A660" s="17" t="str">
        <f aca="false">IF(Transações!C660&lt;&gt;"",Transações!C660,"")</f>
        <v/>
      </c>
      <c r="B660" s="17" t="str">
        <f aca="false">IF(Transações!A660&lt;&gt;"",Transações!A660,"")</f>
        <v/>
      </c>
      <c r="C660" s="17" t="str">
        <f aca="false">IF(Transações!B660&lt;&gt;"",Transações!B660,"")</f>
        <v/>
      </c>
      <c r="D660" s="18" t="str">
        <f aca="false">IF(Transações!D660&lt;&gt;"",Transações!D660,"")</f>
        <v/>
      </c>
      <c r="E660" s="19" t="str">
        <f aca="false">IF(Transações!E660&lt;&gt;"",Transações!E660,"")</f>
        <v/>
      </c>
      <c r="F660" s="12" t="str">
        <f aca="false">IF(C660="Compra",D660*E660,IF(C660="Staking",D660*E660,""))</f>
        <v/>
      </c>
      <c r="G660" s="12" t="str">
        <f aca="false">IF(C660="Venda",IF(COUNTIF(A$3:A659,A660)&gt;0,(E660-SUMPRODUCT((A$3:A659=A660)*(C$3:C659="Compra")*F$3:F659)/IF(SUMPRODUCT((A$3:A659=A660)*(C$3:C659="Compra")*D$3:D659)=0,1,SUMPRODUCT((A$3:A659=A660)*(C$3:C659="Compra")*D$3:D659)))*D660,0),"")</f>
        <v/>
      </c>
      <c r="H660" s="12" t="str">
        <f aca="false">IF(C660="Venda",E660*D660,"")</f>
        <v/>
      </c>
    </row>
    <row r="661" customFormat="false" ht="15" hidden="false" customHeight="false" outlineLevel="0" collapsed="false">
      <c r="A661" s="14" t="str">
        <f aca="false">IF(Transações!C661&lt;&gt;"",Transações!C661,"")</f>
        <v/>
      </c>
      <c r="B661" s="14" t="str">
        <f aca="false">IF(Transações!A661&lt;&gt;"",Transações!A661,"")</f>
        <v/>
      </c>
      <c r="C661" s="14" t="str">
        <f aca="false">IF(Transações!B661&lt;&gt;"",Transações!B661,"")</f>
        <v/>
      </c>
      <c r="D661" s="15" t="str">
        <f aca="false">IF(Transações!D661&lt;&gt;"",Transações!D661,"")</f>
        <v/>
      </c>
      <c r="E661" s="16" t="str">
        <f aca="false">IF(Transações!E661&lt;&gt;"",Transações!E661,"")</f>
        <v/>
      </c>
      <c r="F661" s="7" t="str">
        <f aca="false">IF(C661="Compra",D661*E661,IF(C661="Staking",D661*E661,""))</f>
        <v/>
      </c>
      <c r="G661" s="7" t="str">
        <f aca="false">IF(C661="Venda",IF(COUNTIF(A$3:A660,A661)&gt;0,(E661-SUMPRODUCT((A$3:A660=A661)*(C$3:C660="Compra")*F$3:F660)/IF(SUMPRODUCT((A$3:A660=A661)*(C$3:C660="Compra")*D$3:D660)=0,1,SUMPRODUCT((A$3:A660=A661)*(C$3:C660="Compra")*D$3:D660)))*D661,0),"")</f>
        <v/>
      </c>
      <c r="H661" s="7" t="str">
        <f aca="false">IF(C661="Venda",E661*D661,"")</f>
        <v/>
      </c>
    </row>
    <row r="662" customFormat="false" ht="15" hidden="false" customHeight="false" outlineLevel="0" collapsed="false">
      <c r="A662" s="17" t="str">
        <f aca="false">IF(Transações!C662&lt;&gt;"",Transações!C662,"")</f>
        <v/>
      </c>
      <c r="B662" s="17" t="str">
        <f aca="false">IF(Transações!A662&lt;&gt;"",Transações!A662,"")</f>
        <v/>
      </c>
      <c r="C662" s="17" t="str">
        <f aca="false">IF(Transações!B662&lt;&gt;"",Transações!B662,"")</f>
        <v/>
      </c>
      <c r="D662" s="18" t="str">
        <f aca="false">IF(Transações!D662&lt;&gt;"",Transações!D662,"")</f>
        <v/>
      </c>
      <c r="E662" s="19" t="str">
        <f aca="false">IF(Transações!E662&lt;&gt;"",Transações!E662,"")</f>
        <v/>
      </c>
      <c r="F662" s="12" t="str">
        <f aca="false">IF(C662="Compra",D662*E662,IF(C662="Staking",D662*E662,""))</f>
        <v/>
      </c>
      <c r="G662" s="12" t="str">
        <f aca="false">IF(C662="Venda",IF(COUNTIF(A$3:A661,A662)&gt;0,(E662-SUMPRODUCT((A$3:A661=A662)*(C$3:C661="Compra")*F$3:F661)/IF(SUMPRODUCT((A$3:A661=A662)*(C$3:C661="Compra")*D$3:D661)=0,1,SUMPRODUCT((A$3:A661=A662)*(C$3:C661="Compra")*D$3:D661)))*D662,0),"")</f>
        <v/>
      </c>
      <c r="H662" s="12" t="str">
        <f aca="false">IF(C662="Venda",E662*D662,"")</f>
        <v/>
      </c>
    </row>
    <row r="663" customFormat="false" ht="15" hidden="false" customHeight="false" outlineLevel="0" collapsed="false">
      <c r="A663" s="14" t="str">
        <f aca="false">IF(Transações!C663&lt;&gt;"",Transações!C663,"")</f>
        <v/>
      </c>
      <c r="B663" s="14" t="str">
        <f aca="false">IF(Transações!A663&lt;&gt;"",Transações!A663,"")</f>
        <v/>
      </c>
      <c r="C663" s="14" t="str">
        <f aca="false">IF(Transações!B663&lt;&gt;"",Transações!B663,"")</f>
        <v/>
      </c>
      <c r="D663" s="15" t="str">
        <f aca="false">IF(Transações!D663&lt;&gt;"",Transações!D663,"")</f>
        <v/>
      </c>
      <c r="E663" s="16" t="str">
        <f aca="false">IF(Transações!E663&lt;&gt;"",Transações!E663,"")</f>
        <v/>
      </c>
      <c r="F663" s="7" t="str">
        <f aca="false">IF(C663="Compra",D663*E663,IF(C663="Staking",D663*E663,""))</f>
        <v/>
      </c>
      <c r="G663" s="7" t="str">
        <f aca="false">IF(C663="Venda",IF(COUNTIF(A$3:A662,A663)&gt;0,(E663-SUMPRODUCT((A$3:A662=A663)*(C$3:C662="Compra")*F$3:F662)/IF(SUMPRODUCT((A$3:A662=A663)*(C$3:C662="Compra")*D$3:D662)=0,1,SUMPRODUCT((A$3:A662=A663)*(C$3:C662="Compra")*D$3:D662)))*D663,0),"")</f>
        <v/>
      </c>
      <c r="H663" s="7" t="str">
        <f aca="false">IF(C663="Venda",E663*D663,"")</f>
        <v/>
      </c>
    </row>
    <row r="664" customFormat="false" ht="15" hidden="false" customHeight="false" outlineLevel="0" collapsed="false">
      <c r="A664" s="17" t="str">
        <f aca="false">IF(Transações!C664&lt;&gt;"",Transações!C664,"")</f>
        <v/>
      </c>
      <c r="B664" s="17" t="str">
        <f aca="false">IF(Transações!A664&lt;&gt;"",Transações!A664,"")</f>
        <v/>
      </c>
      <c r="C664" s="17" t="str">
        <f aca="false">IF(Transações!B664&lt;&gt;"",Transações!B664,"")</f>
        <v/>
      </c>
      <c r="D664" s="18" t="str">
        <f aca="false">IF(Transações!D664&lt;&gt;"",Transações!D664,"")</f>
        <v/>
      </c>
      <c r="E664" s="19" t="str">
        <f aca="false">IF(Transações!E664&lt;&gt;"",Transações!E664,"")</f>
        <v/>
      </c>
      <c r="F664" s="12" t="str">
        <f aca="false">IF(C664="Compra",D664*E664,IF(C664="Staking",D664*E664,""))</f>
        <v/>
      </c>
      <c r="G664" s="12" t="str">
        <f aca="false">IF(C664="Venda",IF(COUNTIF(A$3:A663,A664)&gt;0,(E664-SUMPRODUCT((A$3:A663=A664)*(C$3:C663="Compra")*F$3:F663)/IF(SUMPRODUCT((A$3:A663=A664)*(C$3:C663="Compra")*D$3:D663)=0,1,SUMPRODUCT((A$3:A663=A664)*(C$3:C663="Compra")*D$3:D663)))*D664,0),"")</f>
        <v/>
      </c>
      <c r="H664" s="12" t="str">
        <f aca="false">IF(C664="Venda",E664*D664,"")</f>
        <v/>
      </c>
    </row>
    <row r="665" customFormat="false" ht="15" hidden="false" customHeight="false" outlineLevel="0" collapsed="false">
      <c r="A665" s="14" t="str">
        <f aca="false">IF(Transações!C665&lt;&gt;"",Transações!C665,"")</f>
        <v/>
      </c>
      <c r="B665" s="14" t="str">
        <f aca="false">IF(Transações!A665&lt;&gt;"",Transações!A665,"")</f>
        <v/>
      </c>
      <c r="C665" s="14" t="str">
        <f aca="false">IF(Transações!B665&lt;&gt;"",Transações!B665,"")</f>
        <v/>
      </c>
      <c r="D665" s="15" t="str">
        <f aca="false">IF(Transações!D665&lt;&gt;"",Transações!D665,"")</f>
        <v/>
      </c>
      <c r="E665" s="16" t="str">
        <f aca="false">IF(Transações!E665&lt;&gt;"",Transações!E665,"")</f>
        <v/>
      </c>
      <c r="F665" s="7" t="str">
        <f aca="false">IF(C665="Compra",D665*E665,IF(C665="Staking",D665*E665,""))</f>
        <v/>
      </c>
      <c r="G665" s="7" t="str">
        <f aca="false">IF(C665="Venda",IF(COUNTIF(A$3:A664,A665)&gt;0,(E665-SUMPRODUCT((A$3:A664=A665)*(C$3:C664="Compra")*F$3:F664)/IF(SUMPRODUCT((A$3:A664=A665)*(C$3:C664="Compra")*D$3:D664)=0,1,SUMPRODUCT((A$3:A664=A665)*(C$3:C664="Compra")*D$3:D664)))*D665,0),"")</f>
        <v/>
      </c>
      <c r="H665" s="7" t="str">
        <f aca="false">IF(C665="Venda",E665*D665,"")</f>
        <v/>
      </c>
    </row>
    <row r="666" customFormat="false" ht="15" hidden="false" customHeight="false" outlineLevel="0" collapsed="false">
      <c r="A666" s="17" t="str">
        <f aca="false">IF(Transações!C666&lt;&gt;"",Transações!C666,"")</f>
        <v/>
      </c>
      <c r="B666" s="17" t="str">
        <f aca="false">IF(Transações!A666&lt;&gt;"",Transações!A666,"")</f>
        <v/>
      </c>
      <c r="C666" s="17" t="str">
        <f aca="false">IF(Transações!B666&lt;&gt;"",Transações!B666,"")</f>
        <v/>
      </c>
      <c r="D666" s="18" t="str">
        <f aca="false">IF(Transações!D666&lt;&gt;"",Transações!D666,"")</f>
        <v/>
      </c>
      <c r="E666" s="19" t="str">
        <f aca="false">IF(Transações!E666&lt;&gt;"",Transações!E666,"")</f>
        <v/>
      </c>
      <c r="F666" s="12" t="str">
        <f aca="false">IF(C666="Compra",D666*E666,IF(C666="Staking",D666*E666,""))</f>
        <v/>
      </c>
      <c r="G666" s="12" t="str">
        <f aca="false">IF(C666="Venda",IF(COUNTIF(A$3:A665,A666)&gt;0,(E666-SUMPRODUCT((A$3:A665=A666)*(C$3:C665="Compra")*F$3:F665)/IF(SUMPRODUCT((A$3:A665=A666)*(C$3:C665="Compra")*D$3:D665)=0,1,SUMPRODUCT((A$3:A665=A666)*(C$3:C665="Compra")*D$3:D665)))*D666,0),"")</f>
        <v/>
      </c>
      <c r="H666" s="12" t="str">
        <f aca="false">IF(C666="Venda",E666*D666,"")</f>
        <v/>
      </c>
    </row>
    <row r="667" customFormat="false" ht="15" hidden="false" customHeight="false" outlineLevel="0" collapsed="false">
      <c r="A667" s="14" t="str">
        <f aca="false">IF(Transações!C667&lt;&gt;"",Transações!C667,"")</f>
        <v/>
      </c>
      <c r="B667" s="14" t="str">
        <f aca="false">IF(Transações!A667&lt;&gt;"",Transações!A667,"")</f>
        <v/>
      </c>
      <c r="C667" s="14" t="str">
        <f aca="false">IF(Transações!B667&lt;&gt;"",Transações!B667,"")</f>
        <v/>
      </c>
      <c r="D667" s="15" t="str">
        <f aca="false">IF(Transações!D667&lt;&gt;"",Transações!D667,"")</f>
        <v/>
      </c>
      <c r="E667" s="16" t="str">
        <f aca="false">IF(Transações!E667&lt;&gt;"",Transações!E667,"")</f>
        <v/>
      </c>
      <c r="F667" s="7" t="str">
        <f aca="false">IF(C667="Compra",D667*E667,IF(C667="Staking",D667*E667,""))</f>
        <v/>
      </c>
      <c r="G667" s="7" t="str">
        <f aca="false">IF(C667="Venda",IF(COUNTIF(A$3:A666,A667)&gt;0,(E667-SUMPRODUCT((A$3:A666=A667)*(C$3:C666="Compra")*F$3:F666)/IF(SUMPRODUCT((A$3:A666=A667)*(C$3:C666="Compra")*D$3:D666)=0,1,SUMPRODUCT((A$3:A666=A667)*(C$3:C666="Compra")*D$3:D666)))*D667,0),"")</f>
        <v/>
      </c>
      <c r="H667" s="7" t="str">
        <f aca="false">IF(C667="Venda",E667*D667,"")</f>
        <v/>
      </c>
    </row>
    <row r="668" customFormat="false" ht="15" hidden="false" customHeight="false" outlineLevel="0" collapsed="false">
      <c r="A668" s="17" t="str">
        <f aca="false">IF(Transações!C668&lt;&gt;"",Transações!C668,"")</f>
        <v/>
      </c>
      <c r="B668" s="17" t="str">
        <f aca="false">IF(Transações!A668&lt;&gt;"",Transações!A668,"")</f>
        <v/>
      </c>
      <c r="C668" s="17" t="str">
        <f aca="false">IF(Transações!B668&lt;&gt;"",Transações!B668,"")</f>
        <v/>
      </c>
      <c r="D668" s="18" t="str">
        <f aca="false">IF(Transações!D668&lt;&gt;"",Transações!D668,"")</f>
        <v/>
      </c>
      <c r="E668" s="19" t="str">
        <f aca="false">IF(Transações!E668&lt;&gt;"",Transações!E668,"")</f>
        <v/>
      </c>
      <c r="F668" s="12" t="str">
        <f aca="false">IF(C668="Compra",D668*E668,IF(C668="Staking",D668*E668,""))</f>
        <v/>
      </c>
      <c r="G668" s="12" t="str">
        <f aca="false">IF(C668="Venda",IF(COUNTIF(A$3:A667,A668)&gt;0,(E668-SUMPRODUCT((A$3:A667=A668)*(C$3:C667="Compra")*F$3:F667)/IF(SUMPRODUCT((A$3:A667=A668)*(C$3:C667="Compra")*D$3:D667)=0,1,SUMPRODUCT((A$3:A667=A668)*(C$3:C667="Compra")*D$3:D667)))*D668,0),"")</f>
        <v/>
      </c>
      <c r="H668" s="12" t="str">
        <f aca="false">IF(C668="Venda",E668*D668,"")</f>
        <v/>
      </c>
    </row>
    <row r="669" customFormat="false" ht="15" hidden="false" customHeight="false" outlineLevel="0" collapsed="false">
      <c r="A669" s="14" t="str">
        <f aca="false">IF(Transações!C669&lt;&gt;"",Transações!C669,"")</f>
        <v/>
      </c>
      <c r="B669" s="14" t="str">
        <f aca="false">IF(Transações!A669&lt;&gt;"",Transações!A669,"")</f>
        <v/>
      </c>
      <c r="C669" s="14" t="str">
        <f aca="false">IF(Transações!B669&lt;&gt;"",Transações!B669,"")</f>
        <v/>
      </c>
      <c r="D669" s="15" t="str">
        <f aca="false">IF(Transações!D669&lt;&gt;"",Transações!D669,"")</f>
        <v/>
      </c>
      <c r="E669" s="16" t="str">
        <f aca="false">IF(Transações!E669&lt;&gt;"",Transações!E669,"")</f>
        <v/>
      </c>
      <c r="F669" s="7" t="str">
        <f aca="false">IF(C669="Compra",D669*E669,IF(C669="Staking",D669*E669,""))</f>
        <v/>
      </c>
      <c r="G669" s="7" t="str">
        <f aca="false">IF(C669="Venda",IF(COUNTIF(A$3:A668,A669)&gt;0,(E669-SUMPRODUCT((A$3:A668=A669)*(C$3:C668="Compra")*F$3:F668)/IF(SUMPRODUCT((A$3:A668=A669)*(C$3:C668="Compra")*D$3:D668)=0,1,SUMPRODUCT((A$3:A668=A669)*(C$3:C668="Compra")*D$3:D668)))*D669,0),"")</f>
        <v/>
      </c>
      <c r="H669" s="7" t="str">
        <f aca="false">IF(C669="Venda",E669*D669,"")</f>
        <v/>
      </c>
    </row>
    <row r="670" customFormat="false" ht="15" hidden="false" customHeight="false" outlineLevel="0" collapsed="false">
      <c r="A670" s="17" t="str">
        <f aca="false">IF(Transações!C670&lt;&gt;"",Transações!C670,"")</f>
        <v/>
      </c>
      <c r="B670" s="17" t="str">
        <f aca="false">IF(Transações!A670&lt;&gt;"",Transações!A670,"")</f>
        <v/>
      </c>
      <c r="C670" s="17" t="str">
        <f aca="false">IF(Transações!B670&lt;&gt;"",Transações!B670,"")</f>
        <v/>
      </c>
      <c r="D670" s="18" t="str">
        <f aca="false">IF(Transações!D670&lt;&gt;"",Transações!D670,"")</f>
        <v/>
      </c>
      <c r="E670" s="19" t="str">
        <f aca="false">IF(Transações!E670&lt;&gt;"",Transações!E670,"")</f>
        <v/>
      </c>
      <c r="F670" s="12" t="str">
        <f aca="false">IF(C670="Compra",D670*E670,IF(C670="Staking",D670*E670,""))</f>
        <v/>
      </c>
      <c r="G670" s="12" t="str">
        <f aca="false">IF(C670="Venda",IF(COUNTIF(A$3:A669,A670)&gt;0,(E670-SUMPRODUCT((A$3:A669=A670)*(C$3:C669="Compra")*F$3:F669)/IF(SUMPRODUCT((A$3:A669=A670)*(C$3:C669="Compra")*D$3:D669)=0,1,SUMPRODUCT((A$3:A669=A670)*(C$3:C669="Compra")*D$3:D669)))*D670,0),"")</f>
        <v/>
      </c>
      <c r="H670" s="12" t="str">
        <f aca="false">IF(C670="Venda",E670*D670,"")</f>
        <v/>
      </c>
    </row>
    <row r="671" customFormat="false" ht="15" hidden="false" customHeight="false" outlineLevel="0" collapsed="false">
      <c r="A671" s="14" t="str">
        <f aca="false">IF(Transações!C671&lt;&gt;"",Transações!C671,"")</f>
        <v/>
      </c>
      <c r="B671" s="14" t="str">
        <f aca="false">IF(Transações!A671&lt;&gt;"",Transações!A671,"")</f>
        <v/>
      </c>
      <c r="C671" s="14" t="str">
        <f aca="false">IF(Transações!B671&lt;&gt;"",Transações!B671,"")</f>
        <v/>
      </c>
      <c r="D671" s="15" t="str">
        <f aca="false">IF(Transações!D671&lt;&gt;"",Transações!D671,"")</f>
        <v/>
      </c>
      <c r="E671" s="16" t="str">
        <f aca="false">IF(Transações!E671&lt;&gt;"",Transações!E671,"")</f>
        <v/>
      </c>
      <c r="F671" s="7" t="str">
        <f aca="false">IF(C671="Compra",D671*E671,IF(C671="Staking",D671*E671,""))</f>
        <v/>
      </c>
      <c r="G671" s="7" t="str">
        <f aca="false">IF(C671="Venda",IF(COUNTIF(A$3:A670,A671)&gt;0,(E671-SUMPRODUCT((A$3:A670=A671)*(C$3:C670="Compra")*F$3:F670)/IF(SUMPRODUCT((A$3:A670=A671)*(C$3:C670="Compra")*D$3:D670)=0,1,SUMPRODUCT((A$3:A670=A671)*(C$3:C670="Compra")*D$3:D670)))*D671,0),"")</f>
        <v/>
      </c>
      <c r="H671" s="7" t="str">
        <f aca="false">IF(C671="Venda",E671*D671,"")</f>
        <v/>
      </c>
    </row>
    <row r="672" customFormat="false" ht="15" hidden="false" customHeight="false" outlineLevel="0" collapsed="false">
      <c r="A672" s="17" t="str">
        <f aca="false">IF(Transações!C672&lt;&gt;"",Transações!C672,"")</f>
        <v/>
      </c>
      <c r="B672" s="17" t="str">
        <f aca="false">IF(Transações!A672&lt;&gt;"",Transações!A672,"")</f>
        <v/>
      </c>
      <c r="C672" s="17" t="str">
        <f aca="false">IF(Transações!B672&lt;&gt;"",Transações!B672,"")</f>
        <v/>
      </c>
      <c r="D672" s="18" t="str">
        <f aca="false">IF(Transações!D672&lt;&gt;"",Transações!D672,"")</f>
        <v/>
      </c>
      <c r="E672" s="19" t="str">
        <f aca="false">IF(Transações!E672&lt;&gt;"",Transações!E672,"")</f>
        <v/>
      </c>
      <c r="F672" s="12" t="str">
        <f aca="false">IF(C672="Compra",D672*E672,IF(C672="Staking",D672*E672,""))</f>
        <v/>
      </c>
      <c r="G672" s="12" t="str">
        <f aca="false">IF(C672="Venda",IF(COUNTIF(A$3:A671,A672)&gt;0,(E672-SUMPRODUCT((A$3:A671=A672)*(C$3:C671="Compra")*F$3:F671)/IF(SUMPRODUCT((A$3:A671=A672)*(C$3:C671="Compra")*D$3:D671)=0,1,SUMPRODUCT((A$3:A671=A672)*(C$3:C671="Compra")*D$3:D671)))*D672,0),"")</f>
        <v/>
      </c>
      <c r="H672" s="12" t="str">
        <f aca="false">IF(C672="Venda",E672*D672,"")</f>
        <v/>
      </c>
    </row>
    <row r="673" customFormat="false" ht="15" hidden="false" customHeight="false" outlineLevel="0" collapsed="false">
      <c r="A673" s="14" t="str">
        <f aca="false">IF(Transações!C673&lt;&gt;"",Transações!C673,"")</f>
        <v/>
      </c>
      <c r="B673" s="14" t="str">
        <f aca="false">IF(Transações!A673&lt;&gt;"",Transações!A673,"")</f>
        <v/>
      </c>
      <c r="C673" s="14" t="str">
        <f aca="false">IF(Transações!B673&lt;&gt;"",Transações!B673,"")</f>
        <v/>
      </c>
      <c r="D673" s="15" t="str">
        <f aca="false">IF(Transações!D673&lt;&gt;"",Transações!D673,"")</f>
        <v/>
      </c>
      <c r="E673" s="16" t="str">
        <f aca="false">IF(Transações!E673&lt;&gt;"",Transações!E673,"")</f>
        <v/>
      </c>
      <c r="F673" s="7" t="str">
        <f aca="false">IF(C673="Compra",D673*E673,IF(C673="Staking",D673*E673,""))</f>
        <v/>
      </c>
      <c r="G673" s="7" t="str">
        <f aca="false">IF(C673="Venda",IF(COUNTIF(A$3:A672,A673)&gt;0,(E673-SUMPRODUCT((A$3:A672=A673)*(C$3:C672="Compra")*F$3:F672)/IF(SUMPRODUCT((A$3:A672=A673)*(C$3:C672="Compra")*D$3:D672)=0,1,SUMPRODUCT((A$3:A672=A673)*(C$3:C672="Compra")*D$3:D672)))*D673,0),"")</f>
        <v/>
      </c>
      <c r="H673" s="7" t="str">
        <f aca="false">IF(C673="Venda",E673*D673,"")</f>
        <v/>
      </c>
    </row>
    <row r="674" customFormat="false" ht="15" hidden="false" customHeight="false" outlineLevel="0" collapsed="false">
      <c r="A674" s="17" t="str">
        <f aca="false">IF(Transações!C674&lt;&gt;"",Transações!C674,"")</f>
        <v/>
      </c>
      <c r="B674" s="17" t="str">
        <f aca="false">IF(Transações!A674&lt;&gt;"",Transações!A674,"")</f>
        <v/>
      </c>
      <c r="C674" s="17" t="str">
        <f aca="false">IF(Transações!B674&lt;&gt;"",Transações!B674,"")</f>
        <v/>
      </c>
      <c r="D674" s="18" t="str">
        <f aca="false">IF(Transações!D674&lt;&gt;"",Transações!D674,"")</f>
        <v/>
      </c>
      <c r="E674" s="19" t="str">
        <f aca="false">IF(Transações!E674&lt;&gt;"",Transações!E674,"")</f>
        <v/>
      </c>
      <c r="F674" s="12" t="str">
        <f aca="false">IF(C674="Compra",D674*E674,IF(C674="Staking",D674*E674,""))</f>
        <v/>
      </c>
      <c r="G674" s="12" t="str">
        <f aca="false">IF(C674="Venda",IF(COUNTIF(A$3:A673,A674)&gt;0,(E674-SUMPRODUCT((A$3:A673=A674)*(C$3:C673="Compra")*F$3:F673)/IF(SUMPRODUCT((A$3:A673=A674)*(C$3:C673="Compra")*D$3:D673)=0,1,SUMPRODUCT((A$3:A673=A674)*(C$3:C673="Compra")*D$3:D673)))*D674,0),"")</f>
        <v/>
      </c>
      <c r="H674" s="12" t="str">
        <f aca="false">IF(C674="Venda",E674*D674,"")</f>
        <v/>
      </c>
    </row>
    <row r="675" customFormat="false" ht="15" hidden="false" customHeight="false" outlineLevel="0" collapsed="false">
      <c r="A675" s="14" t="str">
        <f aca="false">IF(Transações!C675&lt;&gt;"",Transações!C675,"")</f>
        <v/>
      </c>
      <c r="B675" s="14" t="str">
        <f aca="false">IF(Transações!A675&lt;&gt;"",Transações!A675,"")</f>
        <v/>
      </c>
      <c r="C675" s="14" t="str">
        <f aca="false">IF(Transações!B675&lt;&gt;"",Transações!B675,"")</f>
        <v/>
      </c>
      <c r="D675" s="15" t="str">
        <f aca="false">IF(Transações!D675&lt;&gt;"",Transações!D675,"")</f>
        <v/>
      </c>
      <c r="E675" s="16" t="str">
        <f aca="false">IF(Transações!E675&lt;&gt;"",Transações!E675,"")</f>
        <v/>
      </c>
      <c r="F675" s="7" t="str">
        <f aca="false">IF(C675="Compra",D675*E675,IF(C675="Staking",D675*E675,""))</f>
        <v/>
      </c>
      <c r="G675" s="7" t="str">
        <f aca="false">IF(C675="Venda",IF(COUNTIF(A$3:A674,A675)&gt;0,(E675-SUMPRODUCT((A$3:A674=A675)*(C$3:C674="Compra")*F$3:F674)/IF(SUMPRODUCT((A$3:A674=A675)*(C$3:C674="Compra")*D$3:D674)=0,1,SUMPRODUCT((A$3:A674=A675)*(C$3:C674="Compra")*D$3:D674)))*D675,0),"")</f>
        <v/>
      </c>
      <c r="H675" s="7" t="str">
        <f aca="false">IF(C675="Venda",E675*D675,"")</f>
        <v/>
      </c>
    </row>
    <row r="676" customFormat="false" ht="15" hidden="false" customHeight="false" outlineLevel="0" collapsed="false">
      <c r="A676" s="17" t="str">
        <f aca="false">IF(Transações!C676&lt;&gt;"",Transações!C676,"")</f>
        <v/>
      </c>
      <c r="B676" s="17" t="str">
        <f aca="false">IF(Transações!A676&lt;&gt;"",Transações!A676,"")</f>
        <v/>
      </c>
      <c r="C676" s="17" t="str">
        <f aca="false">IF(Transações!B676&lt;&gt;"",Transações!B676,"")</f>
        <v/>
      </c>
      <c r="D676" s="18" t="str">
        <f aca="false">IF(Transações!D676&lt;&gt;"",Transações!D676,"")</f>
        <v/>
      </c>
      <c r="E676" s="19" t="str">
        <f aca="false">IF(Transações!E676&lt;&gt;"",Transações!E676,"")</f>
        <v/>
      </c>
      <c r="F676" s="12" t="str">
        <f aca="false">IF(C676="Compra",D676*E676,IF(C676="Staking",D676*E676,""))</f>
        <v/>
      </c>
      <c r="G676" s="12" t="str">
        <f aca="false">IF(C676="Venda",IF(COUNTIF(A$3:A675,A676)&gt;0,(E676-SUMPRODUCT((A$3:A675=A676)*(C$3:C675="Compra")*F$3:F675)/IF(SUMPRODUCT((A$3:A675=A676)*(C$3:C675="Compra")*D$3:D675)=0,1,SUMPRODUCT((A$3:A675=A676)*(C$3:C675="Compra")*D$3:D675)))*D676,0),"")</f>
        <v/>
      </c>
      <c r="H676" s="12" t="str">
        <f aca="false">IF(C676="Venda",E676*D676,"")</f>
        <v/>
      </c>
    </row>
    <row r="677" customFormat="false" ht="15" hidden="false" customHeight="false" outlineLevel="0" collapsed="false">
      <c r="A677" s="14" t="str">
        <f aca="false">IF(Transações!C677&lt;&gt;"",Transações!C677,"")</f>
        <v/>
      </c>
      <c r="B677" s="14" t="str">
        <f aca="false">IF(Transações!A677&lt;&gt;"",Transações!A677,"")</f>
        <v/>
      </c>
      <c r="C677" s="14" t="str">
        <f aca="false">IF(Transações!B677&lt;&gt;"",Transações!B677,"")</f>
        <v/>
      </c>
      <c r="D677" s="15" t="str">
        <f aca="false">IF(Transações!D677&lt;&gt;"",Transações!D677,"")</f>
        <v/>
      </c>
      <c r="E677" s="16" t="str">
        <f aca="false">IF(Transações!E677&lt;&gt;"",Transações!E677,"")</f>
        <v/>
      </c>
      <c r="F677" s="7" t="str">
        <f aca="false">IF(C677="Compra",D677*E677,IF(C677="Staking",D677*E677,""))</f>
        <v/>
      </c>
      <c r="G677" s="7" t="str">
        <f aca="false">IF(C677="Venda",IF(COUNTIF(A$3:A676,A677)&gt;0,(E677-SUMPRODUCT((A$3:A676=A677)*(C$3:C676="Compra")*F$3:F676)/IF(SUMPRODUCT((A$3:A676=A677)*(C$3:C676="Compra")*D$3:D676)=0,1,SUMPRODUCT((A$3:A676=A677)*(C$3:C676="Compra")*D$3:D676)))*D677,0),"")</f>
        <v/>
      </c>
      <c r="H677" s="7" t="str">
        <f aca="false">IF(C677="Venda",E677*D677,"")</f>
        <v/>
      </c>
    </row>
    <row r="678" customFormat="false" ht="15" hidden="false" customHeight="false" outlineLevel="0" collapsed="false">
      <c r="A678" s="17" t="str">
        <f aca="false">IF(Transações!C678&lt;&gt;"",Transações!C678,"")</f>
        <v/>
      </c>
      <c r="B678" s="17" t="str">
        <f aca="false">IF(Transações!A678&lt;&gt;"",Transações!A678,"")</f>
        <v/>
      </c>
      <c r="C678" s="17" t="str">
        <f aca="false">IF(Transações!B678&lt;&gt;"",Transações!B678,"")</f>
        <v/>
      </c>
      <c r="D678" s="18" t="str">
        <f aca="false">IF(Transações!D678&lt;&gt;"",Transações!D678,"")</f>
        <v/>
      </c>
      <c r="E678" s="19" t="str">
        <f aca="false">IF(Transações!E678&lt;&gt;"",Transações!E678,"")</f>
        <v/>
      </c>
      <c r="F678" s="12" t="str">
        <f aca="false">IF(C678="Compra",D678*E678,IF(C678="Staking",D678*E678,""))</f>
        <v/>
      </c>
      <c r="G678" s="12" t="str">
        <f aca="false">IF(C678="Venda",IF(COUNTIF(A$3:A677,A678)&gt;0,(E678-SUMPRODUCT((A$3:A677=A678)*(C$3:C677="Compra")*F$3:F677)/IF(SUMPRODUCT((A$3:A677=A678)*(C$3:C677="Compra")*D$3:D677)=0,1,SUMPRODUCT((A$3:A677=A678)*(C$3:C677="Compra")*D$3:D677)))*D678,0),"")</f>
        <v/>
      </c>
      <c r="H678" s="12" t="str">
        <f aca="false">IF(C678="Venda",E678*D678,"")</f>
        <v/>
      </c>
    </row>
    <row r="679" customFormat="false" ht="15" hidden="false" customHeight="false" outlineLevel="0" collapsed="false">
      <c r="A679" s="14" t="str">
        <f aca="false">IF(Transações!C679&lt;&gt;"",Transações!C679,"")</f>
        <v/>
      </c>
      <c r="B679" s="14" t="str">
        <f aca="false">IF(Transações!A679&lt;&gt;"",Transações!A679,"")</f>
        <v/>
      </c>
      <c r="C679" s="14" t="str">
        <f aca="false">IF(Transações!B679&lt;&gt;"",Transações!B679,"")</f>
        <v/>
      </c>
      <c r="D679" s="15" t="str">
        <f aca="false">IF(Transações!D679&lt;&gt;"",Transações!D679,"")</f>
        <v/>
      </c>
      <c r="E679" s="16" t="str">
        <f aca="false">IF(Transações!E679&lt;&gt;"",Transações!E679,"")</f>
        <v/>
      </c>
      <c r="F679" s="7" t="str">
        <f aca="false">IF(C679="Compra",D679*E679,IF(C679="Staking",D679*E679,""))</f>
        <v/>
      </c>
      <c r="G679" s="7" t="str">
        <f aca="false">IF(C679="Venda",IF(COUNTIF(A$3:A678,A679)&gt;0,(E679-SUMPRODUCT((A$3:A678=A679)*(C$3:C678="Compra")*F$3:F678)/IF(SUMPRODUCT((A$3:A678=A679)*(C$3:C678="Compra")*D$3:D678)=0,1,SUMPRODUCT((A$3:A678=A679)*(C$3:C678="Compra")*D$3:D678)))*D679,0),"")</f>
        <v/>
      </c>
      <c r="H679" s="7" t="str">
        <f aca="false">IF(C679="Venda",E679*D679,"")</f>
        <v/>
      </c>
    </row>
    <row r="680" customFormat="false" ht="15" hidden="false" customHeight="false" outlineLevel="0" collapsed="false">
      <c r="A680" s="17" t="str">
        <f aca="false">IF(Transações!C680&lt;&gt;"",Transações!C680,"")</f>
        <v/>
      </c>
      <c r="B680" s="17" t="str">
        <f aca="false">IF(Transações!A680&lt;&gt;"",Transações!A680,"")</f>
        <v/>
      </c>
      <c r="C680" s="17" t="str">
        <f aca="false">IF(Transações!B680&lt;&gt;"",Transações!B680,"")</f>
        <v/>
      </c>
      <c r="D680" s="18" t="str">
        <f aca="false">IF(Transações!D680&lt;&gt;"",Transações!D680,"")</f>
        <v/>
      </c>
      <c r="E680" s="19" t="str">
        <f aca="false">IF(Transações!E680&lt;&gt;"",Transações!E680,"")</f>
        <v/>
      </c>
      <c r="F680" s="12" t="str">
        <f aca="false">IF(C680="Compra",D680*E680,IF(C680="Staking",D680*E680,""))</f>
        <v/>
      </c>
      <c r="G680" s="12" t="str">
        <f aca="false">IF(C680="Venda",IF(COUNTIF(A$3:A679,A680)&gt;0,(E680-SUMPRODUCT((A$3:A679=A680)*(C$3:C679="Compra")*F$3:F679)/IF(SUMPRODUCT((A$3:A679=A680)*(C$3:C679="Compra")*D$3:D679)=0,1,SUMPRODUCT((A$3:A679=A680)*(C$3:C679="Compra")*D$3:D679)))*D680,0),"")</f>
        <v/>
      </c>
      <c r="H680" s="12" t="str">
        <f aca="false">IF(C680="Venda",E680*D680,"")</f>
        <v/>
      </c>
    </row>
    <row r="681" customFormat="false" ht="15" hidden="false" customHeight="false" outlineLevel="0" collapsed="false">
      <c r="A681" s="14" t="str">
        <f aca="false">IF(Transações!C681&lt;&gt;"",Transações!C681,"")</f>
        <v/>
      </c>
      <c r="B681" s="14" t="str">
        <f aca="false">IF(Transações!A681&lt;&gt;"",Transações!A681,"")</f>
        <v/>
      </c>
      <c r="C681" s="14" t="str">
        <f aca="false">IF(Transações!B681&lt;&gt;"",Transações!B681,"")</f>
        <v/>
      </c>
      <c r="D681" s="15" t="str">
        <f aca="false">IF(Transações!D681&lt;&gt;"",Transações!D681,"")</f>
        <v/>
      </c>
      <c r="E681" s="16" t="str">
        <f aca="false">IF(Transações!E681&lt;&gt;"",Transações!E681,"")</f>
        <v/>
      </c>
      <c r="F681" s="7" t="str">
        <f aca="false">IF(C681="Compra",D681*E681,IF(C681="Staking",D681*E681,""))</f>
        <v/>
      </c>
      <c r="G681" s="7" t="str">
        <f aca="false">IF(C681="Venda",IF(COUNTIF(A$3:A680,A681)&gt;0,(E681-SUMPRODUCT((A$3:A680=A681)*(C$3:C680="Compra")*F$3:F680)/IF(SUMPRODUCT((A$3:A680=A681)*(C$3:C680="Compra")*D$3:D680)=0,1,SUMPRODUCT((A$3:A680=A681)*(C$3:C680="Compra")*D$3:D680)))*D681,0),"")</f>
        <v/>
      </c>
      <c r="H681" s="7" t="str">
        <f aca="false">IF(C681="Venda",E681*D681,"")</f>
        <v/>
      </c>
    </row>
    <row r="682" customFormat="false" ht="15" hidden="false" customHeight="false" outlineLevel="0" collapsed="false">
      <c r="A682" s="17" t="str">
        <f aca="false">IF(Transações!C682&lt;&gt;"",Transações!C682,"")</f>
        <v/>
      </c>
      <c r="B682" s="17" t="str">
        <f aca="false">IF(Transações!A682&lt;&gt;"",Transações!A682,"")</f>
        <v/>
      </c>
      <c r="C682" s="17" t="str">
        <f aca="false">IF(Transações!B682&lt;&gt;"",Transações!B682,"")</f>
        <v/>
      </c>
      <c r="D682" s="18" t="str">
        <f aca="false">IF(Transações!D682&lt;&gt;"",Transações!D682,"")</f>
        <v/>
      </c>
      <c r="E682" s="19" t="str">
        <f aca="false">IF(Transações!E682&lt;&gt;"",Transações!E682,"")</f>
        <v/>
      </c>
      <c r="F682" s="12" t="str">
        <f aca="false">IF(C682="Compra",D682*E682,IF(C682="Staking",D682*E682,""))</f>
        <v/>
      </c>
      <c r="G682" s="12" t="str">
        <f aca="false">IF(C682="Venda",IF(COUNTIF(A$3:A681,A682)&gt;0,(E682-SUMPRODUCT((A$3:A681=A682)*(C$3:C681="Compra")*F$3:F681)/IF(SUMPRODUCT((A$3:A681=A682)*(C$3:C681="Compra")*D$3:D681)=0,1,SUMPRODUCT((A$3:A681=A682)*(C$3:C681="Compra")*D$3:D681)))*D682,0),"")</f>
        <v/>
      </c>
      <c r="H682" s="12" t="str">
        <f aca="false">IF(C682="Venda",E682*D682,"")</f>
        <v/>
      </c>
    </row>
    <row r="683" customFormat="false" ht="15" hidden="false" customHeight="false" outlineLevel="0" collapsed="false">
      <c r="A683" s="14" t="str">
        <f aca="false">IF(Transações!C683&lt;&gt;"",Transações!C683,"")</f>
        <v/>
      </c>
      <c r="B683" s="14" t="str">
        <f aca="false">IF(Transações!A683&lt;&gt;"",Transações!A683,"")</f>
        <v/>
      </c>
      <c r="C683" s="14" t="str">
        <f aca="false">IF(Transações!B683&lt;&gt;"",Transações!B683,"")</f>
        <v/>
      </c>
      <c r="D683" s="15" t="str">
        <f aca="false">IF(Transações!D683&lt;&gt;"",Transações!D683,"")</f>
        <v/>
      </c>
      <c r="E683" s="16" t="str">
        <f aca="false">IF(Transações!E683&lt;&gt;"",Transações!E683,"")</f>
        <v/>
      </c>
      <c r="F683" s="7" t="str">
        <f aca="false">IF(C683="Compra",D683*E683,IF(C683="Staking",D683*E683,""))</f>
        <v/>
      </c>
      <c r="G683" s="7" t="str">
        <f aca="false">IF(C683="Venda",IF(COUNTIF(A$3:A682,A683)&gt;0,(E683-SUMPRODUCT((A$3:A682=A683)*(C$3:C682="Compra")*F$3:F682)/IF(SUMPRODUCT((A$3:A682=A683)*(C$3:C682="Compra")*D$3:D682)=0,1,SUMPRODUCT((A$3:A682=A683)*(C$3:C682="Compra")*D$3:D682)))*D683,0),"")</f>
        <v/>
      </c>
      <c r="H683" s="7" t="str">
        <f aca="false">IF(C683="Venda",E683*D683,"")</f>
        <v/>
      </c>
    </row>
    <row r="684" customFormat="false" ht="15" hidden="false" customHeight="false" outlineLevel="0" collapsed="false">
      <c r="A684" s="17" t="str">
        <f aca="false">IF(Transações!C684&lt;&gt;"",Transações!C684,"")</f>
        <v/>
      </c>
      <c r="B684" s="17" t="str">
        <f aca="false">IF(Transações!A684&lt;&gt;"",Transações!A684,"")</f>
        <v/>
      </c>
      <c r="C684" s="17" t="str">
        <f aca="false">IF(Transações!B684&lt;&gt;"",Transações!B684,"")</f>
        <v/>
      </c>
      <c r="D684" s="18" t="str">
        <f aca="false">IF(Transações!D684&lt;&gt;"",Transações!D684,"")</f>
        <v/>
      </c>
      <c r="E684" s="19" t="str">
        <f aca="false">IF(Transações!E684&lt;&gt;"",Transações!E684,"")</f>
        <v/>
      </c>
      <c r="F684" s="12" t="str">
        <f aca="false">IF(C684="Compra",D684*E684,IF(C684="Staking",D684*E684,""))</f>
        <v/>
      </c>
      <c r="G684" s="12" t="str">
        <f aca="false">IF(C684="Venda",IF(COUNTIF(A$3:A683,A684)&gt;0,(E684-SUMPRODUCT((A$3:A683=A684)*(C$3:C683="Compra")*F$3:F683)/IF(SUMPRODUCT((A$3:A683=A684)*(C$3:C683="Compra")*D$3:D683)=0,1,SUMPRODUCT((A$3:A683=A684)*(C$3:C683="Compra")*D$3:D683)))*D684,0),"")</f>
        <v/>
      </c>
      <c r="H684" s="12" t="str">
        <f aca="false">IF(C684="Venda",E684*D684,"")</f>
        <v/>
      </c>
    </row>
    <row r="685" customFormat="false" ht="15" hidden="false" customHeight="false" outlineLevel="0" collapsed="false">
      <c r="A685" s="14" t="str">
        <f aca="false">IF(Transações!C685&lt;&gt;"",Transações!C685,"")</f>
        <v/>
      </c>
      <c r="B685" s="14" t="str">
        <f aca="false">IF(Transações!A685&lt;&gt;"",Transações!A685,"")</f>
        <v/>
      </c>
      <c r="C685" s="14" t="str">
        <f aca="false">IF(Transações!B685&lt;&gt;"",Transações!B685,"")</f>
        <v/>
      </c>
      <c r="D685" s="15" t="str">
        <f aca="false">IF(Transações!D685&lt;&gt;"",Transações!D685,"")</f>
        <v/>
      </c>
      <c r="E685" s="16" t="str">
        <f aca="false">IF(Transações!E685&lt;&gt;"",Transações!E685,"")</f>
        <v/>
      </c>
      <c r="F685" s="7" t="str">
        <f aca="false">IF(C685="Compra",D685*E685,IF(C685="Staking",D685*E685,""))</f>
        <v/>
      </c>
      <c r="G685" s="7" t="str">
        <f aca="false">IF(C685="Venda",IF(COUNTIF(A$3:A684,A685)&gt;0,(E685-SUMPRODUCT((A$3:A684=A685)*(C$3:C684="Compra")*F$3:F684)/IF(SUMPRODUCT((A$3:A684=A685)*(C$3:C684="Compra")*D$3:D684)=0,1,SUMPRODUCT((A$3:A684=A685)*(C$3:C684="Compra")*D$3:D684)))*D685,0),"")</f>
        <v/>
      </c>
      <c r="H685" s="7" t="str">
        <f aca="false">IF(C685="Venda",E685*D685,"")</f>
        <v/>
      </c>
    </row>
    <row r="686" customFormat="false" ht="15" hidden="false" customHeight="false" outlineLevel="0" collapsed="false">
      <c r="A686" s="17" t="str">
        <f aca="false">IF(Transações!C686&lt;&gt;"",Transações!C686,"")</f>
        <v/>
      </c>
      <c r="B686" s="17" t="str">
        <f aca="false">IF(Transações!A686&lt;&gt;"",Transações!A686,"")</f>
        <v/>
      </c>
      <c r="C686" s="17" t="str">
        <f aca="false">IF(Transações!B686&lt;&gt;"",Transações!B686,"")</f>
        <v/>
      </c>
      <c r="D686" s="18" t="str">
        <f aca="false">IF(Transações!D686&lt;&gt;"",Transações!D686,"")</f>
        <v/>
      </c>
      <c r="E686" s="19" t="str">
        <f aca="false">IF(Transações!E686&lt;&gt;"",Transações!E686,"")</f>
        <v/>
      </c>
      <c r="F686" s="12" t="str">
        <f aca="false">IF(C686="Compra",D686*E686,IF(C686="Staking",D686*E686,""))</f>
        <v/>
      </c>
      <c r="G686" s="12" t="str">
        <f aca="false">IF(C686="Venda",IF(COUNTIF(A$3:A685,A686)&gt;0,(E686-SUMPRODUCT((A$3:A685=A686)*(C$3:C685="Compra")*F$3:F685)/IF(SUMPRODUCT((A$3:A685=A686)*(C$3:C685="Compra")*D$3:D685)=0,1,SUMPRODUCT((A$3:A685=A686)*(C$3:C685="Compra")*D$3:D685)))*D686,0),"")</f>
        <v/>
      </c>
      <c r="H686" s="12" t="str">
        <f aca="false">IF(C686="Venda",E686*D686,"")</f>
        <v/>
      </c>
    </row>
    <row r="687" customFormat="false" ht="15" hidden="false" customHeight="false" outlineLevel="0" collapsed="false">
      <c r="A687" s="14" t="str">
        <f aca="false">IF(Transações!C687&lt;&gt;"",Transações!C687,"")</f>
        <v/>
      </c>
      <c r="B687" s="14" t="str">
        <f aca="false">IF(Transações!A687&lt;&gt;"",Transações!A687,"")</f>
        <v/>
      </c>
      <c r="C687" s="14" t="str">
        <f aca="false">IF(Transações!B687&lt;&gt;"",Transações!B687,"")</f>
        <v/>
      </c>
      <c r="D687" s="15" t="str">
        <f aca="false">IF(Transações!D687&lt;&gt;"",Transações!D687,"")</f>
        <v/>
      </c>
      <c r="E687" s="16" t="str">
        <f aca="false">IF(Transações!E687&lt;&gt;"",Transações!E687,"")</f>
        <v/>
      </c>
      <c r="F687" s="7" t="str">
        <f aca="false">IF(C687="Compra",D687*E687,IF(C687="Staking",D687*E687,""))</f>
        <v/>
      </c>
      <c r="G687" s="7" t="str">
        <f aca="false">IF(C687="Venda",IF(COUNTIF(A$3:A686,A687)&gt;0,(E687-SUMPRODUCT((A$3:A686=A687)*(C$3:C686="Compra")*F$3:F686)/IF(SUMPRODUCT((A$3:A686=A687)*(C$3:C686="Compra")*D$3:D686)=0,1,SUMPRODUCT((A$3:A686=A687)*(C$3:C686="Compra")*D$3:D686)))*D687,0),"")</f>
        <v/>
      </c>
      <c r="H687" s="7" t="str">
        <f aca="false">IF(C687="Venda",E687*D687,"")</f>
        <v/>
      </c>
    </row>
    <row r="688" customFormat="false" ht="15" hidden="false" customHeight="false" outlineLevel="0" collapsed="false">
      <c r="A688" s="17" t="str">
        <f aca="false">IF(Transações!C688&lt;&gt;"",Transações!C688,"")</f>
        <v/>
      </c>
      <c r="B688" s="17" t="str">
        <f aca="false">IF(Transações!A688&lt;&gt;"",Transações!A688,"")</f>
        <v/>
      </c>
      <c r="C688" s="17" t="str">
        <f aca="false">IF(Transações!B688&lt;&gt;"",Transações!B688,"")</f>
        <v/>
      </c>
      <c r="D688" s="18" t="str">
        <f aca="false">IF(Transações!D688&lt;&gt;"",Transações!D688,"")</f>
        <v/>
      </c>
      <c r="E688" s="19" t="str">
        <f aca="false">IF(Transações!E688&lt;&gt;"",Transações!E688,"")</f>
        <v/>
      </c>
      <c r="F688" s="12" t="str">
        <f aca="false">IF(C688="Compra",D688*E688,IF(C688="Staking",D688*E688,""))</f>
        <v/>
      </c>
      <c r="G688" s="12" t="str">
        <f aca="false">IF(C688="Venda",IF(COUNTIF(A$3:A687,A688)&gt;0,(E688-SUMPRODUCT((A$3:A687=A688)*(C$3:C687="Compra")*F$3:F687)/IF(SUMPRODUCT((A$3:A687=A688)*(C$3:C687="Compra")*D$3:D687)=0,1,SUMPRODUCT((A$3:A687=A688)*(C$3:C687="Compra")*D$3:D687)))*D688,0),"")</f>
        <v/>
      </c>
      <c r="H688" s="12" t="str">
        <f aca="false">IF(C688="Venda",E688*D688,"")</f>
        <v/>
      </c>
    </row>
    <row r="689" customFormat="false" ht="15" hidden="false" customHeight="false" outlineLevel="0" collapsed="false">
      <c r="A689" s="14" t="str">
        <f aca="false">IF(Transações!C689&lt;&gt;"",Transações!C689,"")</f>
        <v/>
      </c>
      <c r="B689" s="14" t="str">
        <f aca="false">IF(Transações!A689&lt;&gt;"",Transações!A689,"")</f>
        <v/>
      </c>
      <c r="C689" s="14" t="str">
        <f aca="false">IF(Transações!B689&lt;&gt;"",Transações!B689,"")</f>
        <v/>
      </c>
      <c r="D689" s="15" t="str">
        <f aca="false">IF(Transações!D689&lt;&gt;"",Transações!D689,"")</f>
        <v/>
      </c>
      <c r="E689" s="16" t="str">
        <f aca="false">IF(Transações!E689&lt;&gt;"",Transações!E689,"")</f>
        <v/>
      </c>
      <c r="F689" s="7" t="str">
        <f aca="false">IF(C689="Compra",D689*E689,IF(C689="Staking",D689*E689,""))</f>
        <v/>
      </c>
      <c r="G689" s="7" t="str">
        <f aca="false">IF(C689="Venda",IF(COUNTIF(A$3:A688,A689)&gt;0,(E689-SUMPRODUCT((A$3:A688=A689)*(C$3:C688="Compra")*F$3:F688)/IF(SUMPRODUCT((A$3:A688=A689)*(C$3:C688="Compra")*D$3:D688)=0,1,SUMPRODUCT((A$3:A688=A689)*(C$3:C688="Compra")*D$3:D688)))*D689,0),"")</f>
        <v/>
      </c>
      <c r="H689" s="7" t="str">
        <f aca="false">IF(C689="Venda",E689*D689,"")</f>
        <v/>
      </c>
    </row>
    <row r="690" customFormat="false" ht="15" hidden="false" customHeight="false" outlineLevel="0" collapsed="false">
      <c r="A690" s="17" t="str">
        <f aca="false">IF(Transações!C690&lt;&gt;"",Transações!C690,"")</f>
        <v/>
      </c>
      <c r="B690" s="17" t="str">
        <f aca="false">IF(Transações!A690&lt;&gt;"",Transações!A690,"")</f>
        <v/>
      </c>
      <c r="C690" s="17" t="str">
        <f aca="false">IF(Transações!B690&lt;&gt;"",Transações!B690,"")</f>
        <v/>
      </c>
      <c r="D690" s="18" t="str">
        <f aca="false">IF(Transações!D690&lt;&gt;"",Transações!D690,"")</f>
        <v/>
      </c>
      <c r="E690" s="19" t="str">
        <f aca="false">IF(Transações!E690&lt;&gt;"",Transações!E690,"")</f>
        <v/>
      </c>
      <c r="F690" s="12" t="str">
        <f aca="false">IF(C690="Compra",D690*E690,IF(C690="Staking",D690*E690,""))</f>
        <v/>
      </c>
      <c r="G690" s="12" t="str">
        <f aca="false">IF(C690="Venda",IF(COUNTIF(A$3:A689,A690)&gt;0,(E690-SUMPRODUCT((A$3:A689=A690)*(C$3:C689="Compra")*F$3:F689)/IF(SUMPRODUCT((A$3:A689=A690)*(C$3:C689="Compra")*D$3:D689)=0,1,SUMPRODUCT((A$3:A689=A690)*(C$3:C689="Compra")*D$3:D689)))*D690,0),"")</f>
        <v/>
      </c>
      <c r="H690" s="12" t="str">
        <f aca="false">IF(C690="Venda",E690*D690,"")</f>
        <v/>
      </c>
    </row>
    <row r="691" customFormat="false" ht="15" hidden="false" customHeight="false" outlineLevel="0" collapsed="false">
      <c r="A691" s="14" t="str">
        <f aca="false">IF(Transações!C691&lt;&gt;"",Transações!C691,"")</f>
        <v/>
      </c>
      <c r="B691" s="14" t="str">
        <f aca="false">IF(Transações!A691&lt;&gt;"",Transações!A691,"")</f>
        <v/>
      </c>
      <c r="C691" s="14" t="str">
        <f aca="false">IF(Transações!B691&lt;&gt;"",Transações!B691,"")</f>
        <v/>
      </c>
      <c r="D691" s="15" t="str">
        <f aca="false">IF(Transações!D691&lt;&gt;"",Transações!D691,"")</f>
        <v/>
      </c>
      <c r="E691" s="16" t="str">
        <f aca="false">IF(Transações!E691&lt;&gt;"",Transações!E691,"")</f>
        <v/>
      </c>
      <c r="F691" s="7" t="str">
        <f aca="false">IF(C691="Compra",D691*E691,IF(C691="Staking",D691*E691,""))</f>
        <v/>
      </c>
      <c r="G691" s="7" t="str">
        <f aca="false">IF(C691="Venda",IF(COUNTIF(A$3:A690,A691)&gt;0,(E691-SUMPRODUCT((A$3:A690=A691)*(C$3:C690="Compra")*F$3:F690)/IF(SUMPRODUCT((A$3:A690=A691)*(C$3:C690="Compra")*D$3:D690)=0,1,SUMPRODUCT((A$3:A690=A691)*(C$3:C690="Compra")*D$3:D690)))*D691,0),"")</f>
        <v/>
      </c>
      <c r="H691" s="7" t="str">
        <f aca="false">IF(C691="Venda",E691*D691,"")</f>
        <v/>
      </c>
    </row>
    <row r="692" customFormat="false" ht="15" hidden="false" customHeight="false" outlineLevel="0" collapsed="false">
      <c r="A692" s="17" t="str">
        <f aca="false">IF(Transações!C692&lt;&gt;"",Transações!C692,"")</f>
        <v/>
      </c>
      <c r="B692" s="17" t="str">
        <f aca="false">IF(Transações!A692&lt;&gt;"",Transações!A692,"")</f>
        <v/>
      </c>
      <c r="C692" s="17" t="str">
        <f aca="false">IF(Transações!B692&lt;&gt;"",Transações!B692,"")</f>
        <v/>
      </c>
      <c r="D692" s="18" t="str">
        <f aca="false">IF(Transações!D692&lt;&gt;"",Transações!D692,"")</f>
        <v/>
      </c>
      <c r="E692" s="19" t="str">
        <f aca="false">IF(Transações!E692&lt;&gt;"",Transações!E692,"")</f>
        <v/>
      </c>
      <c r="F692" s="12" t="str">
        <f aca="false">IF(C692="Compra",D692*E692,IF(C692="Staking",D692*E692,""))</f>
        <v/>
      </c>
      <c r="G692" s="12" t="str">
        <f aca="false">IF(C692="Venda",IF(COUNTIF(A$3:A691,A692)&gt;0,(E692-SUMPRODUCT((A$3:A691=A692)*(C$3:C691="Compra")*F$3:F691)/IF(SUMPRODUCT((A$3:A691=A692)*(C$3:C691="Compra")*D$3:D691)=0,1,SUMPRODUCT((A$3:A691=A692)*(C$3:C691="Compra")*D$3:D691)))*D692,0),"")</f>
        <v/>
      </c>
      <c r="H692" s="12" t="str">
        <f aca="false">IF(C692="Venda",E692*D692,"")</f>
        <v/>
      </c>
    </row>
    <row r="693" customFormat="false" ht="15" hidden="false" customHeight="false" outlineLevel="0" collapsed="false">
      <c r="A693" s="14" t="str">
        <f aca="false">IF(Transações!C693&lt;&gt;"",Transações!C693,"")</f>
        <v/>
      </c>
      <c r="B693" s="14" t="str">
        <f aca="false">IF(Transações!A693&lt;&gt;"",Transações!A693,"")</f>
        <v/>
      </c>
      <c r="C693" s="14" t="str">
        <f aca="false">IF(Transações!B693&lt;&gt;"",Transações!B693,"")</f>
        <v/>
      </c>
      <c r="D693" s="15" t="str">
        <f aca="false">IF(Transações!D693&lt;&gt;"",Transações!D693,"")</f>
        <v/>
      </c>
      <c r="E693" s="16" t="str">
        <f aca="false">IF(Transações!E693&lt;&gt;"",Transações!E693,"")</f>
        <v/>
      </c>
      <c r="F693" s="7" t="str">
        <f aca="false">IF(C693="Compra",D693*E693,IF(C693="Staking",D693*E693,""))</f>
        <v/>
      </c>
      <c r="G693" s="7" t="str">
        <f aca="false">IF(C693="Venda",IF(COUNTIF(A$3:A692,A693)&gt;0,(E693-SUMPRODUCT((A$3:A692=A693)*(C$3:C692="Compra")*F$3:F692)/IF(SUMPRODUCT((A$3:A692=A693)*(C$3:C692="Compra")*D$3:D692)=0,1,SUMPRODUCT((A$3:A692=A693)*(C$3:C692="Compra")*D$3:D692)))*D693,0),"")</f>
        <v/>
      </c>
      <c r="H693" s="7" t="str">
        <f aca="false">IF(C693="Venda",E693*D693,"")</f>
        <v/>
      </c>
    </row>
    <row r="694" customFormat="false" ht="15" hidden="false" customHeight="false" outlineLevel="0" collapsed="false">
      <c r="A694" s="17" t="str">
        <f aca="false">IF(Transações!C694&lt;&gt;"",Transações!C694,"")</f>
        <v/>
      </c>
      <c r="B694" s="17" t="str">
        <f aca="false">IF(Transações!A694&lt;&gt;"",Transações!A694,"")</f>
        <v/>
      </c>
      <c r="C694" s="17" t="str">
        <f aca="false">IF(Transações!B694&lt;&gt;"",Transações!B694,"")</f>
        <v/>
      </c>
      <c r="D694" s="18" t="str">
        <f aca="false">IF(Transações!D694&lt;&gt;"",Transações!D694,"")</f>
        <v/>
      </c>
      <c r="E694" s="19" t="str">
        <f aca="false">IF(Transações!E694&lt;&gt;"",Transações!E694,"")</f>
        <v/>
      </c>
      <c r="F694" s="12" t="str">
        <f aca="false">IF(C694="Compra",D694*E694,IF(C694="Staking",D694*E694,""))</f>
        <v/>
      </c>
      <c r="G694" s="12" t="str">
        <f aca="false">IF(C694="Venda",IF(COUNTIF(A$3:A693,A694)&gt;0,(E694-SUMPRODUCT((A$3:A693=A694)*(C$3:C693="Compra")*F$3:F693)/IF(SUMPRODUCT((A$3:A693=A694)*(C$3:C693="Compra")*D$3:D693)=0,1,SUMPRODUCT((A$3:A693=A694)*(C$3:C693="Compra")*D$3:D693)))*D694,0),"")</f>
        <v/>
      </c>
      <c r="H694" s="12" t="str">
        <f aca="false">IF(C694="Venda",E694*D694,"")</f>
        <v/>
      </c>
    </row>
    <row r="695" customFormat="false" ht="15" hidden="false" customHeight="false" outlineLevel="0" collapsed="false">
      <c r="A695" s="14" t="str">
        <f aca="false">IF(Transações!C695&lt;&gt;"",Transações!C695,"")</f>
        <v/>
      </c>
      <c r="B695" s="14" t="str">
        <f aca="false">IF(Transações!A695&lt;&gt;"",Transações!A695,"")</f>
        <v/>
      </c>
      <c r="C695" s="14" t="str">
        <f aca="false">IF(Transações!B695&lt;&gt;"",Transações!B695,"")</f>
        <v/>
      </c>
      <c r="D695" s="15" t="str">
        <f aca="false">IF(Transações!D695&lt;&gt;"",Transações!D695,"")</f>
        <v/>
      </c>
      <c r="E695" s="16" t="str">
        <f aca="false">IF(Transações!E695&lt;&gt;"",Transações!E695,"")</f>
        <v/>
      </c>
      <c r="F695" s="7" t="str">
        <f aca="false">IF(C695="Compra",D695*E695,IF(C695="Staking",D695*E695,""))</f>
        <v/>
      </c>
      <c r="G695" s="7" t="str">
        <f aca="false">IF(C695="Venda",IF(COUNTIF(A$3:A694,A695)&gt;0,(E695-SUMPRODUCT((A$3:A694=A695)*(C$3:C694="Compra")*F$3:F694)/IF(SUMPRODUCT((A$3:A694=A695)*(C$3:C694="Compra")*D$3:D694)=0,1,SUMPRODUCT((A$3:A694=A695)*(C$3:C694="Compra")*D$3:D694)))*D695,0),"")</f>
        <v/>
      </c>
      <c r="H695" s="7" t="str">
        <f aca="false">IF(C695="Venda",E695*D695,"")</f>
        <v/>
      </c>
    </row>
    <row r="696" customFormat="false" ht="15" hidden="false" customHeight="false" outlineLevel="0" collapsed="false">
      <c r="A696" s="17" t="str">
        <f aca="false">IF(Transações!C696&lt;&gt;"",Transações!C696,"")</f>
        <v/>
      </c>
      <c r="B696" s="17" t="str">
        <f aca="false">IF(Transações!A696&lt;&gt;"",Transações!A696,"")</f>
        <v/>
      </c>
      <c r="C696" s="17" t="str">
        <f aca="false">IF(Transações!B696&lt;&gt;"",Transações!B696,"")</f>
        <v/>
      </c>
      <c r="D696" s="18" t="str">
        <f aca="false">IF(Transações!D696&lt;&gt;"",Transações!D696,"")</f>
        <v/>
      </c>
      <c r="E696" s="19" t="str">
        <f aca="false">IF(Transações!E696&lt;&gt;"",Transações!E696,"")</f>
        <v/>
      </c>
      <c r="F696" s="12" t="str">
        <f aca="false">IF(C696="Compra",D696*E696,IF(C696="Staking",D696*E696,""))</f>
        <v/>
      </c>
      <c r="G696" s="12" t="str">
        <f aca="false">IF(C696="Venda",IF(COUNTIF(A$3:A695,A696)&gt;0,(E696-SUMPRODUCT((A$3:A695=A696)*(C$3:C695="Compra")*F$3:F695)/IF(SUMPRODUCT((A$3:A695=A696)*(C$3:C695="Compra")*D$3:D695)=0,1,SUMPRODUCT((A$3:A695=A696)*(C$3:C695="Compra")*D$3:D695)))*D696,0),"")</f>
        <v/>
      </c>
      <c r="H696" s="12" t="str">
        <f aca="false">IF(C696="Venda",E696*D696,"")</f>
        <v/>
      </c>
    </row>
    <row r="697" customFormat="false" ht="15" hidden="false" customHeight="false" outlineLevel="0" collapsed="false">
      <c r="A697" s="14" t="str">
        <f aca="false">IF(Transações!C697&lt;&gt;"",Transações!C697,"")</f>
        <v/>
      </c>
      <c r="B697" s="14" t="str">
        <f aca="false">IF(Transações!A697&lt;&gt;"",Transações!A697,"")</f>
        <v/>
      </c>
      <c r="C697" s="14" t="str">
        <f aca="false">IF(Transações!B697&lt;&gt;"",Transações!B697,"")</f>
        <v/>
      </c>
      <c r="D697" s="15" t="str">
        <f aca="false">IF(Transações!D697&lt;&gt;"",Transações!D697,"")</f>
        <v/>
      </c>
      <c r="E697" s="16" t="str">
        <f aca="false">IF(Transações!E697&lt;&gt;"",Transações!E697,"")</f>
        <v/>
      </c>
      <c r="F697" s="7" t="str">
        <f aca="false">IF(C697="Compra",D697*E697,IF(C697="Staking",D697*E697,""))</f>
        <v/>
      </c>
      <c r="G697" s="7" t="str">
        <f aca="false">IF(C697="Venda",IF(COUNTIF(A$3:A696,A697)&gt;0,(E697-SUMPRODUCT((A$3:A696=A697)*(C$3:C696="Compra")*F$3:F696)/IF(SUMPRODUCT((A$3:A696=A697)*(C$3:C696="Compra")*D$3:D696)=0,1,SUMPRODUCT((A$3:A696=A697)*(C$3:C696="Compra")*D$3:D696)))*D697,0),"")</f>
        <v/>
      </c>
      <c r="H697" s="7" t="str">
        <f aca="false">IF(C697="Venda",E697*D697,"")</f>
        <v/>
      </c>
    </row>
    <row r="698" customFormat="false" ht="15" hidden="false" customHeight="false" outlineLevel="0" collapsed="false">
      <c r="A698" s="17" t="str">
        <f aca="false">IF(Transações!C698&lt;&gt;"",Transações!C698,"")</f>
        <v/>
      </c>
      <c r="B698" s="17" t="str">
        <f aca="false">IF(Transações!A698&lt;&gt;"",Transações!A698,"")</f>
        <v/>
      </c>
      <c r="C698" s="17" t="str">
        <f aca="false">IF(Transações!B698&lt;&gt;"",Transações!B698,"")</f>
        <v/>
      </c>
      <c r="D698" s="18" t="str">
        <f aca="false">IF(Transações!D698&lt;&gt;"",Transações!D698,"")</f>
        <v/>
      </c>
      <c r="E698" s="19" t="str">
        <f aca="false">IF(Transações!E698&lt;&gt;"",Transações!E698,"")</f>
        <v/>
      </c>
      <c r="F698" s="12" t="str">
        <f aca="false">IF(C698="Compra",D698*E698,IF(C698="Staking",D698*E698,""))</f>
        <v/>
      </c>
      <c r="G698" s="12" t="str">
        <f aca="false">IF(C698="Venda",IF(COUNTIF(A$3:A697,A698)&gt;0,(E698-SUMPRODUCT((A$3:A697=A698)*(C$3:C697="Compra")*F$3:F697)/IF(SUMPRODUCT((A$3:A697=A698)*(C$3:C697="Compra")*D$3:D697)=0,1,SUMPRODUCT((A$3:A697=A698)*(C$3:C697="Compra")*D$3:D697)))*D698,0),"")</f>
        <v/>
      </c>
      <c r="H698" s="12" t="str">
        <f aca="false">IF(C698="Venda",E698*D698,"")</f>
        <v/>
      </c>
    </row>
    <row r="699" customFormat="false" ht="15" hidden="false" customHeight="false" outlineLevel="0" collapsed="false">
      <c r="A699" s="14" t="str">
        <f aca="false">IF(Transações!C699&lt;&gt;"",Transações!C699,"")</f>
        <v/>
      </c>
      <c r="B699" s="14" t="str">
        <f aca="false">IF(Transações!A699&lt;&gt;"",Transações!A699,"")</f>
        <v/>
      </c>
      <c r="C699" s="14" t="str">
        <f aca="false">IF(Transações!B699&lt;&gt;"",Transações!B699,"")</f>
        <v/>
      </c>
      <c r="D699" s="15" t="str">
        <f aca="false">IF(Transações!D699&lt;&gt;"",Transações!D699,"")</f>
        <v/>
      </c>
      <c r="E699" s="16" t="str">
        <f aca="false">IF(Transações!E699&lt;&gt;"",Transações!E699,"")</f>
        <v/>
      </c>
      <c r="F699" s="7" t="str">
        <f aca="false">IF(C699="Compra",D699*E699,IF(C699="Staking",D699*E699,""))</f>
        <v/>
      </c>
      <c r="G699" s="7" t="str">
        <f aca="false">IF(C699="Venda",IF(COUNTIF(A$3:A698,A699)&gt;0,(E699-SUMPRODUCT((A$3:A698=A699)*(C$3:C698="Compra")*F$3:F698)/IF(SUMPRODUCT((A$3:A698=A699)*(C$3:C698="Compra")*D$3:D698)=0,1,SUMPRODUCT((A$3:A698=A699)*(C$3:C698="Compra")*D$3:D698)))*D699,0),"")</f>
        <v/>
      </c>
      <c r="H699" s="7" t="str">
        <f aca="false">IF(C699="Venda",E699*D699,"")</f>
        <v/>
      </c>
    </row>
    <row r="700" customFormat="false" ht="15" hidden="false" customHeight="false" outlineLevel="0" collapsed="false">
      <c r="A700" s="17" t="str">
        <f aca="false">IF(Transações!C700&lt;&gt;"",Transações!C700,"")</f>
        <v/>
      </c>
      <c r="B700" s="17" t="str">
        <f aca="false">IF(Transações!A700&lt;&gt;"",Transações!A700,"")</f>
        <v/>
      </c>
      <c r="C700" s="17" t="str">
        <f aca="false">IF(Transações!B700&lt;&gt;"",Transações!B700,"")</f>
        <v/>
      </c>
      <c r="D700" s="18" t="str">
        <f aca="false">IF(Transações!D700&lt;&gt;"",Transações!D700,"")</f>
        <v/>
      </c>
      <c r="E700" s="19" t="str">
        <f aca="false">IF(Transações!E700&lt;&gt;"",Transações!E700,"")</f>
        <v/>
      </c>
      <c r="F700" s="12" t="str">
        <f aca="false">IF(C700="Compra",D700*E700,IF(C700="Staking",D700*E700,""))</f>
        <v/>
      </c>
      <c r="G700" s="12" t="str">
        <f aca="false">IF(C700="Venda",IF(COUNTIF(A$3:A699,A700)&gt;0,(E700-SUMPRODUCT((A$3:A699=A700)*(C$3:C699="Compra")*F$3:F699)/IF(SUMPRODUCT((A$3:A699=A700)*(C$3:C699="Compra")*D$3:D699)=0,1,SUMPRODUCT((A$3:A699=A700)*(C$3:C699="Compra")*D$3:D699)))*D700,0),"")</f>
        <v/>
      </c>
      <c r="H700" s="12" t="str">
        <f aca="false">IF(C700="Venda",E700*D700,"")</f>
        <v/>
      </c>
    </row>
    <row r="701" customFormat="false" ht="15" hidden="false" customHeight="false" outlineLevel="0" collapsed="false">
      <c r="A701" s="14" t="str">
        <f aca="false">IF(Transações!C701&lt;&gt;"",Transações!C701,"")</f>
        <v/>
      </c>
      <c r="B701" s="14" t="str">
        <f aca="false">IF(Transações!A701&lt;&gt;"",Transações!A701,"")</f>
        <v/>
      </c>
      <c r="C701" s="14" t="str">
        <f aca="false">IF(Transações!B701&lt;&gt;"",Transações!B701,"")</f>
        <v/>
      </c>
      <c r="D701" s="15" t="str">
        <f aca="false">IF(Transações!D701&lt;&gt;"",Transações!D701,"")</f>
        <v/>
      </c>
      <c r="E701" s="16" t="str">
        <f aca="false">IF(Transações!E701&lt;&gt;"",Transações!E701,"")</f>
        <v/>
      </c>
      <c r="F701" s="7" t="str">
        <f aca="false">IF(C701="Compra",D701*E701,IF(C701="Staking",D701*E701,""))</f>
        <v/>
      </c>
      <c r="G701" s="7" t="str">
        <f aca="false">IF(C701="Venda",IF(COUNTIF(A$3:A700,A701)&gt;0,(E701-SUMPRODUCT((A$3:A700=A701)*(C$3:C700="Compra")*F$3:F700)/IF(SUMPRODUCT((A$3:A700=A701)*(C$3:C700="Compra")*D$3:D700)=0,1,SUMPRODUCT((A$3:A700=A701)*(C$3:C700="Compra")*D$3:D700)))*D701,0),"")</f>
        <v/>
      </c>
      <c r="H701" s="7" t="str">
        <f aca="false">IF(C701="Venda",E701*D701,"")</f>
        <v/>
      </c>
    </row>
    <row r="702" customFormat="false" ht="15" hidden="false" customHeight="false" outlineLevel="0" collapsed="false">
      <c r="A702" s="17" t="str">
        <f aca="false">IF(Transações!C702&lt;&gt;"",Transações!C702,"")</f>
        <v/>
      </c>
      <c r="B702" s="17" t="str">
        <f aca="false">IF(Transações!A702&lt;&gt;"",Transações!A702,"")</f>
        <v/>
      </c>
      <c r="C702" s="17" t="str">
        <f aca="false">IF(Transações!B702&lt;&gt;"",Transações!B702,"")</f>
        <v/>
      </c>
      <c r="D702" s="18" t="str">
        <f aca="false">IF(Transações!D702&lt;&gt;"",Transações!D702,"")</f>
        <v/>
      </c>
      <c r="E702" s="19" t="str">
        <f aca="false">IF(Transações!E702&lt;&gt;"",Transações!E702,"")</f>
        <v/>
      </c>
      <c r="F702" s="12" t="str">
        <f aca="false">IF(C702="Compra",D702*E702,IF(C702="Staking",D702*E702,""))</f>
        <v/>
      </c>
      <c r="G702" s="12" t="str">
        <f aca="false">IF(C702="Venda",IF(COUNTIF(A$3:A701,A702)&gt;0,(E702-SUMPRODUCT((A$3:A701=A702)*(C$3:C701="Compra")*F$3:F701)/IF(SUMPRODUCT((A$3:A701=A702)*(C$3:C701="Compra")*D$3:D701)=0,1,SUMPRODUCT((A$3:A701=A702)*(C$3:C701="Compra")*D$3:D701)))*D702,0),"")</f>
        <v/>
      </c>
      <c r="H702" s="12" t="str">
        <f aca="false">IF(C702="Venda",E702*D702,"")</f>
        <v/>
      </c>
    </row>
    <row r="703" customFormat="false" ht="15" hidden="false" customHeight="false" outlineLevel="0" collapsed="false">
      <c r="A703" s="14" t="str">
        <f aca="false">IF(Transações!C703&lt;&gt;"",Transações!C703,"")</f>
        <v/>
      </c>
      <c r="B703" s="14" t="str">
        <f aca="false">IF(Transações!A703&lt;&gt;"",Transações!A703,"")</f>
        <v/>
      </c>
      <c r="C703" s="14" t="str">
        <f aca="false">IF(Transações!B703&lt;&gt;"",Transações!B703,"")</f>
        <v/>
      </c>
      <c r="D703" s="15" t="str">
        <f aca="false">IF(Transações!D703&lt;&gt;"",Transações!D703,"")</f>
        <v/>
      </c>
      <c r="E703" s="16" t="str">
        <f aca="false">IF(Transações!E703&lt;&gt;"",Transações!E703,"")</f>
        <v/>
      </c>
      <c r="F703" s="7" t="str">
        <f aca="false">IF(C703="Compra",D703*E703,IF(C703="Staking",D703*E703,""))</f>
        <v/>
      </c>
      <c r="G703" s="7" t="str">
        <f aca="false">IF(C703="Venda",IF(COUNTIF(A$3:A702,A703)&gt;0,(E703-SUMPRODUCT((A$3:A702=A703)*(C$3:C702="Compra")*F$3:F702)/IF(SUMPRODUCT((A$3:A702=A703)*(C$3:C702="Compra")*D$3:D702)=0,1,SUMPRODUCT((A$3:A702=A703)*(C$3:C702="Compra")*D$3:D702)))*D703,0),"")</f>
        <v/>
      </c>
      <c r="H703" s="7" t="str">
        <f aca="false">IF(C703="Venda",E703*D703,"")</f>
        <v/>
      </c>
    </row>
    <row r="704" customFormat="false" ht="15" hidden="false" customHeight="false" outlineLevel="0" collapsed="false">
      <c r="A704" s="17" t="str">
        <f aca="false">IF(Transações!C704&lt;&gt;"",Transações!C704,"")</f>
        <v/>
      </c>
      <c r="B704" s="17" t="str">
        <f aca="false">IF(Transações!A704&lt;&gt;"",Transações!A704,"")</f>
        <v/>
      </c>
      <c r="C704" s="17" t="str">
        <f aca="false">IF(Transações!B704&lt;&gt;"",Transações!B704,"")</f>
        <v/>
      </c>
      <c r="D704" s="18" t="str">
        <f aca="false">IF(Transações!D704&lt;&gt;"",Transações!D704,"")</f>
        <v/>
      </c>
      <c r="E704" s="19" t="str">
        <f aca="false">IF(Transações!E704&lt;&gt;"",Transações!E704,"")</f>
        <v/>
      </c>
      <c r="F704" s="12" t="str">
        <f aca="false">IF(C704="Compra",D704*E704,IF(C704="Staking",D704*E704,""))</f>
        <v/>
      </c>
      <c r="G704" s="12" t="str">
        <f aca="false">IF(C704="Venda",IF(COUNTIF(A$3:A703,A704)&gt;0,(E704-SUMPRODUCT((A$3:A703=A704)*(C$3:C703="Compra")*F$3:F703)/IF(SUMPRODUCT((A$3:A703=A704)*(C$3:C703="Compra")*D$3:D703)=0,1,SUMPRODUCT((A$3:A703=A704)*(C$3:C703="Compra")*D$3:D703)))*D704,0),"")</f>
        <v/>
      </c>
      <c r="H704" s="12" t="str">
        <f aca="false">IF(C704="Venda",E704*D704,"")</f>
        <v/>
      </c>
    </row>
    <row r="705" customFormat="false" ht="15" hidden="false" customHeight="false" outlineLevel="0" collapsed="false">
      <c r="A705" s="14" t="str">
        <f aca="false">IF(Transações!C705&lt;&gt;"",Transações!C705,"")</f>
        <v/>
      </c>
      <c r="B705" s="14" t="str">
        <f aca="false">IF(Transações!A705&lt;&gt;"",Transações!A705,"")</f>
        <v/>
      </c>
      <c r="C705" s="14" t="str">
        <f aca="false">IF(Transações!B705&lt;&gt;"",Transações!B705,"")</f>
        <v/>
      </c>
      <c r="D705" s="15" t="str">
        <f aca="false">IF(Transações!D705&lt;&gt;"",Transações!D705,"")</f>
        <v/>
      </c>
      <c r="E705" s="16" t="str">
        <f aca="false">IF(Transações!E705&lt;&gt;"",Transações!E705,"")</f>
        <v/>
      </c>
      <c r="F705" s="7" t="str">
        <f aca="false">IF(C705="Compra",D705*E705,IF(C705="Staking",D705*E705,""))</f>
        <v/>
      </c>
      <c r="G705" s="7" t="str">
        <f aca="false">IF(C705="Venda",IF(COUNTIF(A$3:A704,A705)&gt;0,(E705-SUMPRODUCT((A$3:A704=A705)*(C$3:C704="Compra")*F$3:F704)/IF(SUMPRODUCT((A$3:A704=A705)*(C$3:C704="Compra")*D$3:D704)=0,1,SUMPRODUCT((A$3:A704=A705)*(C$3:C704="Compra")*D$3:D704)))*D705,0),"")</f>
        <v/>
      </c>
      <c r="H705" s="7" t="str">
        <f aca="false">IF(C705="Venda",E705*D705,"")</f>
        <v/>
      </c>
    </row>
    <row r="706" customFormat="false" ht="15" hidden="false" customHeight="false" outlineLevel="0" collapsed="false">
      <c r="A706" s="17" t="str">
        <f aca="false">IF(Transações!C706&lt;&gt;"",Transações!C706,"")</f>
        <v/>
      </c>
      <c r="B706" s="17" t="str">
        <f aca="false">IF(Transações!A706&lt;&gt;"",Transações!A706,"")</f>
        <v/>
      </c>
      <c r="C706" s="17" t="str">
        <f aca="false">IF(Transações!B706&lt;&gt;"",Transações!B706,"")</f>
        <v/>
      </c>
      <c r="D706" s="18" t="str">
        <f aca="false">IF(Transações!D706&lt;&gt;"",Transações!D706,"")</f>
        <v/>
      </c>
      <c r="E706" s="19" t="str">
        <f aca="false">IF(Transações!E706&lt;&gt;"",Transações!E706,"")</f>
        <v/>
      </c>
      <c r="F706" s="12" t="str">
        <f aca="false">IF(C706="Compra",D706*E706,IF(C706="Staking",D706*E706,""))</f>
        <v/>
      </c>
      <c r="G706" s="12" t="str">
        <f aca="false">IF(C706="Venda",IF(COUNTIF(A$3:A705,A706)&gt;0,(E706-SUMPRODUCT((A$3:A705=A706)*(C$3:C705="Compra")*F$3:F705)/IF(SUMPRODUCT((A$3:A705=A706)*(C$3:C705="Compra")*D$3:D705)=0,1,SUMPRODUCT((A$3:A705=A706)*(C$3:C705="Compra")*D$3:D705)))*D706,0),"")</f>
        <v/>
      </c>
      <c r="H706" s="12" t="str">
        <f aca="false">IF(C706="Venda",E706*D706,"")</f>
        <v/>
      </c>
    </row>
    <row r="707" customFormat="false" ht="15" hidden="false" customHeight="false" outlineLevel="0" collapsed="false">
      <c r="A707" s="14" t="str">
        <f aca="false">IF(Transações!C707&lt;&gt;"",Transações!C707,"")</f>
        <v/>
      </c>
      <c r="B707" s="14" t="str">
        <f aca="false">IF(Transações!A707&lt;&gt;"",Transações!A707,"")</f>
        <v/>
      </c>
      <c r="C707" s="14" t="str">
        <f aca="false">IF(Transações!B707&lt;&gt;"",Transações!B707,"")</f>
        <v/>
      </c>
      <c r="D707" s="15" t="str">
        <f aca="false">IF(Transações!D707&lt;&gt;"",Transações!D707,"")</f>
        <v/>
      </c>
      <c r="E707" s="16" t="str">
        <f aca="false">IF(Transações!E707&lt;&gt;"",Transações!E707,"")</f>
        <v/>
      </c>
      <c r="F707" s="7" t="str">
        <f aca="false">IF(C707="Compra",D707*E707,IF(C707="Staking",D707*E707,""))</f>
        <v/>
      </c>
      <c r="G707" s="7" t="str">
        <f aca="false">IF(C707="Venda",IF(COUNTIF(A$3:A706,A707)&gt;0,(E707-SUMPRODUCT((A$3:A706=A707)*(C$3:C706="Compra")*F$3:F706)/IF(SUMPRODUCT((A$3:A706=A707)*(C$3:C706="Compra")*D$3:D706)=0,1,SUMPRODUCT((A$3:A706=A707)*(C$3:C706="Compra")*D$3:D706)))*D707,0),"")</f>
        <v/>
      </c>
      <c r="H707" s="7" t="str">
        <f aca="false">IF(C707="Venda",E707*D707,"")</f>
        <v/>
      </c>
    </row>
    <row r="708" customFormat="false" ht="15" hidden="false" customHeight="false" outlineLevel="0" collapsed="false">
      <c r="A708" s="17" t="str">
        <f aca="false">IF(Transações!C708&lt;&gt;"",Transações!C708,"")</f>
        <v/>
      </c>
      <c r="B708" s="17" t="str">
        <f aca="false">IF(Transações!A708&lt;&gt;"",Transações!A708,"")</f>
        <v/>
      </c>
      <c r="C708" s="17" t="str">
        <f aca="false">IF(Transações!B708&lt;&gt;"",Transações!B708,"")</f>
        <v/>
      </c>
      <c r="D708" s="18" t="str">
        <f aca="false">IF(Transações!D708&lt;&gt;"",Transações!D708,"")</f>
        <v/>
      </c>
      <c r="E708" s="19" t="str">
        <f aca="false">IF(Transações!E708&lt;&gt;"",Transações!E708,"")</f>
        <v/>
      </c>
      <c r="F708" s="12" t="str">
        <f aca="false">IF(C708="Compra",D708*E708,IF(C708="Staking",D708*E708,""))</f>
        <v/>
      </c>
      <c r="G708" s="12" t="str">
        <f aca="false">IF(C708="Venda",IF(COUNTIF(A$3:A707,A708)&gt;0,(E708-SUMPRODUCT((A$3:A707=A708)*(C$3:C707="Compra")*F$3:F707)/IF(SUMPRODUCT((A$3:A707=A708)*(C$3:C707="Compra")*D$3:D707)=0,1,SUMPRODUCT((A$3:A707=A708)*(C$3:C707="Compra")*D$3:D707)))*D708,0),"")</f>
        <v/>
      </c>
      <c r="H708" s="12" t="str">
        <f aca="false">IF(C708="Venda",E708*D708,"")</f>
        <v/>
      </c>
    </row>
    <row r="709" customFormat="false" ht="15" hidden="false" customHeight="false" outlineLevel="0" collapsed="false">
      <c r="A709" s="14" t="str">
        <f aca="false">IF(Transações!C709&lt;&gt;"",Transações!C709,"")</f>
        <v/>
      </c>
      <c r="B709" s="14" t="str">
        <f aca="false">IF(Transações!A709&lt;&gt;"",Transações!A709,"")</f>
        <v/>
      </c>
      <c r="C709" s="14" t="str">
        <f aca="false">IF(Transações!B709&lt;&gt;"",Transações!B709,"")</f>
        <v/>
      </c>
      <c r="D709" s="15" t="str">
        <f aca="false">IF(Transações!D709&lt;&gt;"",Transações!D709,"")</f>
        <v/>
      </c>
      <c r="E709" s="16" t="str">
        <f aca="false">IF(Transações!E709&lt;&gt;"",Transações!E709,"")</f>
        <v/>
      </c>
      <c r="F709" s="7" t="str">
        <f aca="false">IF(C709="Compra",D709*E709,IF(C709="Staking",D709*E709,""))</f>
        <v/>
      </c>
      <c r="G709" s="7" t="str">
        <f aca="false">IF(C709="Venda",IF(COUNTIF(A$3:A708,A709)&gt;0,(E709-SUMPRODUCT((A$3:A708=A709)*(C$3:C708="Compra")*F$3:F708)/IF(SUMPRODUCT((A$3:A708=A709)*(C$3:C708="Compra")*D$3:D708)=0,1,SUMPRODUCT((A$3:A708=A709)*(C$3:C708="Compra")*D$3:D708)))*D709,0),"")</f>
        <v/>
      </c>
      <c r="H709" s="7" t="str">
        <f aca="false">IF(C709="Venda",E709*D709,"")</f>
        <v/>
      </c>
    </row>
    <row r="710" customFormat="false" ht="15" hidden="false" customHeight="false" outlineLevel="0" collapsed="false">
      <c r="A710" s="17" t="str">
        <f aca="false">IF(Transações!C710&lt;&gt;"",Transações!C710,"")</f>
        <v/>
      </c>
      <c r="B710" s="17" t="str">
        <f aca="false">IF(Transações!A710&lt;&gt;"",Transações!A710,"")</f>
        <v/>
      </c>
      <c r="C710" s="17" t="str">
        <f aca="false">IF(Transações!B710&lt;&gt;"",Transações!B710,"")</f>
        <v/>
      </c>
      <c r="D710" s="18" t="str">
        <f aca="false">IF(Transações!D710&lt;&gt;"",Transações!D710,"")</f>
        <v/>
      </c>
      <c r="E710" s="19" t="str">
        <f aca="false">IF(Transações!E710&lt;&gt;"",Transações!E710,"")</f>
        <v/>
      </c>
      <c r="F710" s="12" t="str">
        <f aca="false">IF(C710="Compra",D710*E710,IF(C710="Staking",D710*E710,""))</f>
        <v/>
      </c>
      <c r="G710" s="12" t="str">
        <f aca="false">IF(C710="Venda",IF(COUNTIF(A$3:A709,A710)&gt;0,(E710-SUMPRODUCT((A$3:A709=A710)*(C$3:C709="Compra")*F$3:F709)/IF(SUMPRODUCT((A$3:A709=A710)*(C$3:C709="Compra")*D$3:D709)=0,1,SUMPRODUCT((A$3:A709=A710)*(C$3:C709="Compra")*D$3:D709)))*D710,0),"")</f>
        <v/>
      </c>
      <c r="H710" s="12" t="str">
        <f aca="false">IF(C710="Venda",E710*D710,"")</f>
        <v/>
      </c>
    </row>
    <row r="711" customFormat="false" ht="15" hidden="false" customHeight="false" outlineLevel="0" collapsed="false">
      <c r="A711" s="14" t="str">
        <f aca="false">IF(Transações!C711&lt;&gt;"",Transações!C711,"")</f>
        <v/>
      </c>
      <c r="B711" s="14" t="str">
        <f aca="false">IF(Transações!A711&lt;&gt;"",Transações!A711,"")</f>
        <v/>
      </c>
      <c r="C711" s="14" t="str">
        <f aca="false">IF(Transações!B711&lt;&gt;"",Transações!B711,"")</f>
        <v/>
      </c>
      <c r="D711" s="15" t="str">
        <f aca="false">IF(Transações!D711&lt;&gt;"",Transações!D711,"")</f>
        <v/>
      </c>
      <c r="E711" s="16" t="str">
        <f aca="false">IF(Transações!E711&lt;&gt;"",Transações!E711,"")</f>
        <v/>
      </c>
      <c r="F711" s="7" t="str">
        <f aca="false">IF(C711="Compra",D711*E711,IF(C711="Staking",D711*E711,""))</f>
        <v/>
      </c>
      <c r="G711" s="7" t="str">
        <f aca="false">IF(C711="Venda",IF(COUNTIF(A$3:A710,A711)&gt;0,(E711-SUMPRODUCT((A$3:A710=A711)*(C$3:C710="Compra")*F$3:F710)/IF(SUMPRODUCT((A$3:A710=A711)*(C$3:C710="Compra")*D$3:D710)=0,1,SUMPRODUCT((A$3:A710=A711)*(C$3:C710="Compra")*D$3:D710)))*D711,0),"")</f>
        <v/>
      </c>
      <c r="H711" s="7" t="str">
        <f aca="false">IF(C711="Venda",E711*D711,"")</f>
        <v/>
      </c>
    </row>
    <row r="712" customFormat="false" ht="15" hidden="false" customHeight="false" outlineLevel="0" collapsed="false">
      <c r="A712" s="17" t="str">
        <f aca="false">IF(Transações!C712&lt;&gt;"",Transações!C712,"")</f>
        <v/>
      </c>
      <c r="B712" s="17" t="str">
        <f aca="false">IF(Transações!A712&lt;&gt;"",Transações!A712,"")</f>
        <v/>
      </c>
      <c r="C712" s="17" t="str">
        <f aca="false">IF(Transações!B712&lt;&gt;"",Transações!B712,"")</f>
        <v/>
      </c>
      <c r="D712" s="18" t="str">
        <f aca="false">IF(Transações!D712&lt;&gt;"",Transações!D712,"")</f>
        <v/>
      </c>
      <c r="E712" s="19" t="str">
        <f aca="false">IF(Transações!E712&lt;&gt;"",Transações!E712,"")</f>
        <v/>
      </c>
      <c r="F712" s="12" t="str">
        <f aca="false">IF(C712="Compra",D712*E712,IF(C712="Staking",D712*E712,""))</f>
        <v/>
      </c>
      <c r="G712" s="12" t="str">
        <f aca="false">IF(C712="Venda",IF(COUNTIF(A$3:A711,A712)&gt;0,(E712-SUMPRODUCT((A$3:A711=A712)*(C$3:C711="Compra")*F$3:F711)/IF(SUMPRODUCT((A$3:A711=A712)*(C$3:C711="Compra")*D$3:D711)=0,1,SUMPRODUCT((A$3:A711=A712)*(C$3:C711="Compra")*D$3:D711)))*D712,0),"")</f>
        <v/>
      </c>
      <c r="H712" s="12" t="str">
        <f aca="false">IF(C712="Venda",E712*D712,"")</f>
        <v/>
      </c>
    </row>
    <row r="713" customFormat="false" ht="15" hidden="false" customHeight="false" outlineLevel="0" collapsed="false">
      <c r="A713" s="14" t="str">
        <f aca="false">IF(Transações!C713&lt;&gt;"",Transações!C713,"")</f>
        <v/>
      </c>
      <c r="B713" s="14" t="str">
        <f aca="false">IF(Transações!A713&lt;&gt;"",Transações!A713,"")</f>
        <v/>
      </c>
      <c r="C713" s="14" t="str">
        <f aca="false">IF(Transações!B713&lt;&gt;"",Transações!B713,"")</f>
        <v/>
      </c>
      <c r="D713" s="15" t="str">
        <f aca="false">IF(Transações!D713&lt;&gt;"",Transações!D713,"")</f>
        <v/>
      </c>
      <c r="E713" s="16" t="str">
        <f aca="false">IF(Transações!E713&lt;&gt;"",Transações!E713,"")</f>
        <v/>
      </c>
      <c r="F713" s="7" t="str">
        <f aca="false">IF(C713="Compra",D713*E713,IF(C713="Staking",D713*E713,""))</f>
        <v/>
      </c>
      <c r="G713" s="7" t="str">
        <f aca="false">IF(C713="Venda",IF(COUNTIF(A$3:A712,A713)&gt;0,(E713-SUMPRODUCT((A$3:A712=A713)*(C$3:C712="Compra")*F$3:F712)/IF(SUMPRODUCT((A$3:A712=A713)*(C$3:C712="Compra")*D$3:D712)=0,1,SUMPRODUCT((A$3:A712=A713)*(C$3:C712="Compra")*D$3:D712)))*D713,0),"")</f>
        <v/>
      </c>
      <c r="H713" s="7" t="str">
        <f aca="false">IF(C713="Venda",E713*D713,"")</f>
        <v/>
      </c>
    </row>
    <row r="714" customFormat="false" ht="15" hidden="false" customHeight="false" outlineLevel="0" collapsed="false">
      <c r="A714" s="17" t="str">
        <f aca="false">IF(Transações!C714&lt;&gt;"",Transações!C714,"")</f>
        <v/>
      </c>
      <c r="B714" s="17" t="str">
        <f aca="false">IF(Transações!A714&lt;&gt;"",Transações!A714,"")</f>
        <v/>
      </c>
      <c r="C714" s="17" t="str">
        <f aca="false">IF(Transações!B714&lt;&gt;"",Transações!B714,"")</f>
        <v/>
      </c>
      <c r="D714" s="18" t="str">
        <f aca="false">IF(Transações!D714&lt;&gt;"",Transações!D714,"")</f>
        <v/>
      </c>
      <c r="E714" s="19" t="str">
        <f aca="false">IF(Transações!E714&lt;&gt;"",Transações!E714,"")</f>
        <v/>
      </c>
      <c r="F714" s="12" t="str">
        <f aca="false">IF(C714="Compra",D714*E714,IF(C714="Staking",D714*E714,""))</f>
        <v/>
      </c>
      <c r="G714" s="12" t="str">
        <f aca="false">IF(C714="Venda",IF(COUNTIF(A$3:A713,A714)&gt;0,(E714-SUMPRODUCT((A$3:A713=A714)*(C$3:C713="Compra")*F$3:F713)/IF(SUMPRODUCT((A$3:A713=A714)*(C$3:C713="Compra")*D$3:D713)=0,1,SUMPRODUCT((A$3:A713=A714)*(C$3:C713="Compra")*D$3:D713)))*D714,0),"")</f>
        <v/>
      </c>
      <c r="H714" s="12" t="str">
        <f aca="false">IF(C714="Venda",E714*D714,"")</f>
        <v/>
      </c>
    </row>
    <row r="715" customFormat="false" ht="15" hidden="false" customHeight="false" outlineLevel="0" collapsed="false">
      <c r="A715" s="14" t="str">
        <f aca="false">IF(Transações!C715&lt;&gt;"",Transações!C715,"")</f>
        <v/>
      </c>
      <c r="B715" s="14" t="str">
        <f aca="false">IF(Transações!A715&lt;&gt;"",Transações!A715,"")</f>
        <v/>
      </c>
      <c r="C715" s="14" t="str">
        <f aca="false">IF(Transações!B715&lt;&gt;"",Transações!B715,"")</f>
        <v/>
      </c>
      <c r="D715" s="15" t="str">
        <f aca="false">IF(Transações!D715&lt;&gt;"",Transações!D715,"")</f>
        <v/>
      </c>
      <c r="E715" s="16" t="str">
        <f aca="false">IF(Transações!E715&lt;&gt;"",Transações!E715,"")</f>
        <v/>
      </c>
      <c r="F715" s="7" t="str">
        <f aca="false">IF(C715="Compra",D715*E715,IF(C715="Staking",D715*E715,""))</f>
        <v/>
      </c>
      <c r="G715" s="7" t="str">
        <f aca="false">IF(C715="Venda",IF(COUNTIF(A$3:A714,A715)&gt;0,(E715-SUMPRODUCT((A$3:A714=A715)*(C$3:C714="Compra")*F$3:F714)/IF(SUMPRODUCT((A$3:A714=A715)*(C$3:C714="Compra")*D$3:D714)=0,1,SUMPRODUCT((A$3:A714=A715)*(C$3:C714="Compra")*D$3:D714)))*D715,0),"")</f>
        <v/>
      </c>
      <c r="H715" s="7" t="str">
        <f aca="false">IF(C715="Venda",E715*D715,"")</f>
        <v/>
      </c>
    </row>
    <row r="716" customFormat="false" ht="15" hidden="false" customHeight="false" outlineLevel="0" collapsed="false">
      <c r="A716" s="17" t="str">
        <f aca="false">IF(Transações!C716&lt;&gt;"",Transações!C716,"")</f>
        <v/>
      </c>
      <c r="B716" s="17" t="str">
        <f aca="false">IF(Transações!A716&lt;&gt;"",Transações!A716,"")</f>
        <v/>
      </c>
      <c r="C716" s="17" t="str">
        <f aca="false">IF(Transações!B716&lt;&gt;"",Transações!B716,"")</f>
        <v/>
      </c>
      <c r="D716" s="18" t="str">
        <f aca="false">IF(Transações!D716&lt;&gt;"",Transações!D716,"")</f>
        <v/>
      </c>
      <c r="E716" s="19" t="str">
        <f aca="false">IF(Transações!E716&lt;&gt;"",Transações!E716,"")</f>
        <v/>
      </c>
      <c r="F716" s="12" t="str">
        <f aca="false">IF(C716="Compra",D716*E716,IF(C716="Staking",D716*E716,""))</f>
        <v/>
      </c>
      <c r="G716" s="12" t="str">
        <f aca="false">IF(C716="Venda",IF(COUNTIF(A$3:A715,A716)&gt;0,(E716-SUMPRODUCT((A$3:A715=A716)*(C$3:C715="Compra")*F$3:F715)/IF(SUMPRODUCT((A$3:A715=A716)*(C$3:C715="Compra")*D$3:D715)=0,1,SUMPRODUCT((A$3:A715=A716)*(C$3:C715="Compra")*D$3:D715)))*D716,0),"")</f>
        <v/>
      </c>
      <c r="H716" s="12" t="str">
        <f aca="false">IF(C716="Venda",E716*D716,"")</f>
        <v/>
      </c>
    </row>
    <row r="717" customFormat="false" ht="15" hidden="false" customHeight="false" outlineLevel="0" collapsed="false">
      <c r="A717" s="14" t="str">
        <f aca="false">IF(Transações!C717&lt;&gt;"",Transações!C717,"")</f>
        <v/>
      </c>
      <c r="B717" s="14" t="str">
        <f aca="false">IF(Transações!A717&lt;&gt;"",Transações!A717,"")</f>
        <v/>
      </c>
      <c r="C717" s="14" t="str">
        <f aca="false">IF(Transações!B717&lt;&gt;"",Transações!B717,"")</f>
        <v/>
      </c>
      <c r="D717" s="15" t="str">
        <f aca="false">IF(Transações!D717&lt;&gt;"",Transações!D717,"")</f>
        <v/>
      </c>
      <c r="E717" s="16" t="str">
        <f aca="false">IF(Transações!E717&lt;&gt;"",Transações!E717,"")</f>
        <v/>
      </c>
      <c r="F717" s="7" t="str">
        <f aca="false">IF(C717="Compra",D717*E717,IF(C717="Staking",D717*E717,""))</f>
        <v/>
      </c>
      <c r="G717" s="7" t="str">
        <f aca="false">IF(C717="Venda",IF(COUNTIF(A$3:A716,A717)&gt;0,(E717-SUMPRODUCT((A$3:A716=A717)*(C$3:C716="Compra")*F$3:F716)/IF(SUMPRODUCT((A$3:A716=A717)*(C$3:C716="Compra")*D$3:D716)=0,1,SUMPRODUCT((A$3:A716=A717)*(C$3:C716="Compra")*D$3:D716)))*D717,0),"")</f>
        <v/>
      </c>
      <c r="H717" s="7" t="str">
        <f aca="false">IF(C717="Venda",E717*D717,"")</f>
        <v/>
      </c>
    </row>
    <row r="718" customFormat="false" ht="15" hidden="false" customHeight="false" outlineLevel="0" collapsed="false">
      <c r="A718" s="17" t="str">
        <f aca="false">IF(Transações!C718&lt;&gt;"",Transações!C718,"")</f>
        <v/>
      </c>
      <c r="B718" s="17" t="str">
        <f aca="false">IF(Transações!A718&lt;&gt;"",Transações!A718,"")</f>
        <v/>
      </c>
      <c r="C718" s="17" t="str">
        <f aca="false">IF(Transações!B718&lt;&gt;"",Transações!B718,"")</f>
        <v/>
      </c>
      <c r="D718" s="18" t="str">
        <f aca="false">IF(Transações!D718&lt;&gt;"",Transações!D718,"")</f>
        <v/>
      </c>
      <c r="E718" s="19" t="str">
        <f aca="false">IF(Transações!E718&lt;&gt;"",Transações!E718,"")</f>
        <v/>
      </c>
      <c r="F718" s="12" t="str">
        <f aca="false">IF(C718="Compra",D718*E718,IF(C718="Staking",D718*E718,""))</f>
        <v/>
      </c>
      <c r="G718" s="12" t="str">
        <f aca="false">IF(C718="Venda",IF(COUNTIF(A$3:A717,A718)&gt;0,(E718-SUMPRODUCT((A$3:A717=A718)*(C$3:C717="Compra")*F$3:F717)/IF(SUMPRODUCT((A$3:A717=A718)*(C$3:C717="Compra")*D$3:D717)=0,1,SUMPRODUCT((A$3:A717=A718)*(C$3:C717="Compra")*D$3:D717)))*D718,0),"")</f>
        <v/>
      </c>
      <c r="H718" s="12" t="str">
        <f aca="false">IF(C718="Venda",E718*D718,"")</f>
        <v/>
      </c>
    </row>
    <row r="719" customFormat="false" ht="15" hidden="false" customHeight="false" outlineLevel="0" collapsed="false">
      <c r="A719" s="14" t="str">
        <f aca="false">IF(Transações!C719&lt;&gt;"",Transações!C719,"")</f>
        <v/>
      </c>
      <c r="B719" s="14" t="str">
        <f aca="false">IF(Transações!A719&lt;&gt;"",Transações!A719,"")</f>
        <v/>
      </c>
      <c r="C719" s="14" t="str">
        <f aca="false">IF(Transações!B719&lt;&gt;"",Transações!B719,"")</f>
        <v/>
      </c>
      <c r="D719" s="15" t="str">
        <f aca="false">IF(Transações!D719&lt;&gt;"",Transações!D719,"")</f>
        <v/>
      </c>
      <c r="E719" s="16" t="str">
        <f aca="false">IF(Transações!E719&lt;&gt;"",Transações!E719,"")</f>
        <v/>
      </c>
      <c r="F719" s="7" t="str">
        <f aca="false">IF(C719="Compra",D719*E719,IF(C719="Staking",D719*E719,""))</f>
        <v/>
      </c>
      <c r="G719" s="7" t="str">
        <f aca="false">IF(C719="Venda",IF(COUNTIF(A$3:A718,A719)&gt;0,(E719-SUMPRODUCT((A$3:A718=A719)*(C$3:C718="Compra")*F$3:F718)/IF(SUMPRODUCT((A$3:A718=A719)*(C$3:C718="Compra")*D$3:D718)=0,1,SUMPRODUCT((A$3:A718=A719)*(C$3:C718="Compra")*D$3:D718)))*D719,0),"")</f>
        <v/>
      </c>
      <c r="H719" s="7" t="str">
        <f aca="false">IF(C719="Venda",E719*D719,"")</f>
        <v/>
      </c>
    </row>
    <row r="720" customFormat="false" ht="15" hidden="false" customHeight="false" outlineLevel="0" collapsed="false">
      <c r="A720" s="17" t="str">
        <f aca="false">IF(Transações!C720&lt;&gt;"",Transações!C720,"")</f>
        <v/>
      </c>
      <c r="B720" s="17" t="str">
        <f aca="false">IF(Transações!A720&lt;&gt;"",Transações!A720,"")</f>
        <v/>
      </c>
      <c r="C720" s="17" t="str">
        <f aca="false">IF(Transações!B720&lt;&gt;"",Transações!B720,"")</f>
        <v/>
      </c>
      <c r="D720" s="18" t="str">
        <f aca="false">IF(Transações!D720&lt;&gt;"",Transações!D720,"")</f>
        <v/>
      </c>
      <c r="E720" s="19" t="str">
        <f aca="false">IF(Transações!E720&lt;&gt;"",Transações!E720,"")</f>
        <v/>
      </c>
      <c r="F720" s="12" t="str">
        <f aca="false">IF(C720="Compra",D720*E720,IF(C720="Staking",D720*E720,""))</f>
        <v/>
      </c>
      <c r="G720" s="12" t="str">
        <f aca="false">IF(C720="Venda",IF(COUNTIF(A$3:A719,A720)&gt;0,(E720-SUMPRODUCT((A$3:A719=A720)*(C$3:C719="Compra")*F$3:F719)/IF(SUMPRODUCT((A$3:A719=A720)*(C$3:C719="Compra")*D$3:D719)=0,1,SUMPRODUCT((A$3:A719=A720)*(C$3:C719="Compra")*D$3:D719)))*D720,0),"")</f>
        <v/>
      </c>
      <c r="H720" s="12" t="str">
        <f aca="false">IF(C720="Venda",E720*D720,"")</f>
        <v/>
      </c>
    </row>
    <row r="721" customFormat="false" ht="15" hidden="false" customHeight="false" outlineLevel="0" collapsed="false">
      <c r="A721" s="14" t="str">
        <f aca="false">IF(Transações!C721&lt;&gt;"",Transações!C721,"")</f>
        <v/>
      </c>
      <c r="B721" s="14" t="str">
        <f aca="false">IF(Transações!A721&lt;&gt;"",Transações!A721,"")</f>
        <v/>
      </c>
      <c r="C721" s="14" t="str">
        <f aca="false">IF(Transações!B721&lt;&gt;"",Transações!B721,"")</f>
        <v/>
      </c>
      <c r="D721" s="15" t="str">
        <f aca="false">IF(Transações!D721&lt;&gt;"",Transações!D721,"")</f>
        <v/>
      </c>
      <c r="E721" s="16" t="str">
        <f aca="false">IF(Transações!E721&lt;&gt;"",Transações!E721,"")</f>
        <v/>
      </c>
      <c r="F721" s="7" t="str">
        <f aca="false">IF(C721="Compra",D721*E721,IF(C721="Staking",D721*E721,""))</f>
        <v/>
      </c>
      <c r="G721" s="7" t="str">
        <f aca="false">IF(C721="Venda",IF(COUNTIF(A$3:A720,A721)&gt;0,(E721-SUMPRODUCT((A$3:A720=A721)*(C$3:C720="Compra")*F$3:F720)/IF(SUMPRODUCT((A$3:A720=A721)*(C$3:C720="Compra")*D$3:D720)=0,1,SUMPRODUCT((A$3:A720=A721)*(C$3:C720="Compra")*D$3:D720)))*D721,0),"")</f>
        <v/>
      </c>
      <c r="H721" s="7" t="str">
        <f aca="false">IF(C721="Venda",E721*D721,"")</f>
        <v/>
      </c>
    </row>
    <row r="722" customFormat="false" ht="15" hidden="false" customHeight="false" outlineLevel="0" collapsed="false">
      <c r="A722" s="17" t="str">
        <f aca="false">IF(Transações!C722&lt;&gt;"",Transações!C722,"")</f>
        <v/>
      </c>
      <c r="B722" s="17" t="str">
        <f aca="false">IF(Transações!A722&lt;&gt;"",Transações!A722,"")</f>
        <v/>
      </c>
      <c r="C722" s="17" t="str">
        <f aca="false">IF(Transações!B722&lt;&gt;"",Transações!B722,"")</f>
        <v/>
      </c>
      <c r="D722" s="18" t="str">
        <f aca="false">IF(Transações!D722&lt;&gt;"",Transações!D722,"")</f>
        <v/>
      </c>
      <c r="E722" s="19" t="str">
        <f aca="false">IF(Transações!E722&lt;&gt;"",Transações!E722,"")</f>
        <v/>
      </c>
      <c r="F722" s="12" t="str">
        <f aca="false">IF(C722="Compra",D722*E722,IF(C722="Staking",D722*E722,""))</f>
        <v/>
      </c>
      <c r="G722" s="12" t="str">
        <f aca="false">IF(C722="Venda",IF(COUNTIF(A$3:A721,A722)&gt;0,(E722-SUMPRODUCT((A$3:A721=A722)*(C$3:C721="Compra")*F$3:F721)/IF(SUMPRODUCT((A$3:A721=A722)*(C$3:C721="Compra")*D$3:D721)=0,1,SUMPRODUCT((A$3:A721=A722)*(C$3:C721="Compra")*D$3:D721)))*D722,0),"")</f>
        <v/>
      </c>
      <c r="H722" s="12" t="str">
        <f aca="false">IF(C722="Venda",E722*D722,"")</f>
        <v/>
      </c>
    </row>
    <row r="723" customFormat="false" ht="15" hidden="false" customHeight="false" outlineLevel="0" collapsed="false">
      <c r="A723" s="14" t="str">
        <f aca="false">IF(Transações!C723&lt;&gt;"",Transações!C723,"")</f>
        <v/>
      </c>
      <c r="B723" s="14" t="str">
        <f aca="false">IF(Transações!A723&lt;&gt;"",Transações!A723,"")</f>
        <v/>
      </c>
      <c r="C723" s="14" t="str">
        <f aca="false">IF(Transações!B723&lt;&gt;"",Transações!B723,"")</f>
        <v/>
      </c>
      <c r="D723" s="15" t="str">
        <f aca="false">IF(Transações!D723&lt;&gt;"",Transações!D723,"")</f>
        <v/>
      </c>
      <c r="E723" s="16" t="str">
        <f aca="false">IF(Transações!E723&lt;&gt;"",Transações!E723,"")</f>
        <v/>
      </c>
      <c r="F723" s="7" t="str">
        <f aca="false">IF(C723="Compra",D723*E723,IF(C723="Staking",D723*E723,""))</f>
        <v/>
      </c>
      <c r="G723" s="7" t="str">
        <f aca="false">IF(C723="Venda",IF(COUNTIF(A$3:A722,A723)&gt;0,(E723-SUMPRODUCT((A$3:A722=A723)*(C$3:C722="Compra")*F$3:F722)/IF(SUMPRODUCT((A$3:A722=A723)*(C$3:C722="Compra")*D$3:D722)=0,1,SUMPRODUCT((A$3:A722=A723)*(C$3:C722="Compra")*D$3:D722)))*D723,0),"")</f>
        <v/>
      </c>
      <c r="H723" s="7" t="str">
        <f aca="false">IF(C723="Venda",E723*D723,"")</f>
        <v/>
      </c>
    </row>
    <row r="724" customFormat="false" ht="15" hidden="false" customHeight="false" outlineLevel="0" collapsed="false">
      <c r="A724" s="17" t="str">
        <f aca="false">IF(Transações!C724&lt;&gt;"",Transações!C724,"")</f>
        <v/>
      </c>
      <c r="B724" s="17" t="str">
        <f aca="false">IF(Transações!A724&lt;&gt;"",Transações!A724,"")</f>
        <v/>
      </c>
      <c r="C724" s="17" t="str">
        <f aca="false">IF(Transações!B724&lt;&gt;"",Transações!B724,"")</f>
        <v/>
      </c>
      <c r="D724" s="18" t="str">
        <f aca="false">IF(Transações!D724&lt;&gt;"",Transações!D724,"")</f>
        <v/>
      </c>
      <c r="E724" s="19" t="str">
        <f aca="false">IF(Transações!E724&lt;&gt;"",Transações!E724,"")</f>
        <v/>
      </c>
      <c r="F724" s="12" t="str">
        <f aca="false">IF(C724="Compra",D724*E724,IF(C724="Staking",D724*E724,""))</f>
        <v/>
      </c>
      <c r="G724" s="12" t="str">
        <f aca="false">IF(C724="Venda",IF(COUNTIF(A$3:A723,A724)&gt;0,(E724-SUMPRODUCT((A$3:A723=A724)*(C$3:C723="Compra")*F$3:F723)/IF(SUMPRODUCT((A$3:A723=A724)*(C$3:C723="Compra")*D$3:D723)=0,1,SUMPRODUCT((A$3:A723=A724)*(C$3:C723="Compra")*D$3:D723)))*D724,0),"")</f>
        <v/>
      </c>
      <c r="H724" s="12" t="str">
        <f aca="false">IF(C724="Venda",E724*D724,"")</f>
        <v/>
      </c>
    </row>
    <row r="725" customFormat="false" ht="15" hidden="false" customHeight="false" outlineLevel="0" collapsed="false">
      <c r="A725" s="14" t="str">
        <f aca="false">IF(Transações!C725&lt;&gt;"",Transações!C725,"")</f>
        <v/>
      </c>
      <c r="B725" s="14" t="str">
        <f aca="false">IF(Transações!A725&lt;&gt;"",Transações!A725,"")</f>
        <v/>
      </c>
      <c r="C725" s="14" t="str">
        <f aca="false">IF(Transações!B725&lt;&gt;"",Transações!B725,"")</f>
        <v/>
      </c>
      <c r="D725" s="15" t="str">
        <f aca="false">IF(Transações!D725&lt;&gt;"",Transações!D725,"")</f>
        <v/>
      </c>
      <c r="E725" s="16" t="str">
        <f aca="false">IF(Transações!E725&lt;&gt;"",Transações!E725,"")</f>
        <v/>
      </c>
      <c r="F725" s="7" t="str">
        <f aca="false">IF(C725="Compra",D725*E725,IF(C725="Staking",D725*E725,""))</f>
        <v/>
      </c>
      <c r="G725" s="7" t="str">
        <f aca="false">IF(C725="Venda",IF(COUNTIF(A$3:A724,A725)&gt;0,(E725-SUMPRODUCT((A$3:A724=A725)*(C$3:C724="Compra")*F$3:F724)/IF(SUMPRODUCT((A$3:A724=A725)*(C$3:C724="Compra")*D$3:D724)=0,1,SUMPRODUCT((A$3:A724=A725)*(C$3:C724="Compra")*D$3:D724)))*D725,0),"")</f>
        <v/>
      </c>
      <c r="H725" s="7" t="str">
        <f aca="false">IF(C725="Venda",E725*D725,"")</f>
        <v/>
      </c>
    </row>
    <row r="726" customFormat="false" ht="15" hidden="false" customHeight="false" outlineLevel="0" collapsed="false">
      <c r="A726" s="17" t="str">
        <f aca="false">IF(Transações!C726&lt;&gt;"",Transações!C726,"")</f>
        <v/>
      </c>
      <c r="B726" s="17" t="str">
        <f aca="false">IF(Transações!A726&lt;&gt;"",Transações!A726,"")</f>
        <v/>
      </c>
      <c r="C726" s="17" t="str">
        <f aca="false">IF(Transações!B726&lt;&gt;"",Transações!B726,"")</f>
        <v/>
      </c>
      <c r="D726" s="18" t="str">
        <f aca="false">IF(Transações!D726&lt;&gt;"",Transações!D726,"")</f>
        <v/>
      </c>
      <c r="E726" s="19" t="str">
        <f aca="false">IF(Transações!E726&lt;&gt;"",Transações!E726,"")</f>
        <v/>
      </c>
      <c r="F726" s="12" t="str">
        <f aca="false">IF(C726="Compra",D726*E726,IF(C726="Staking",D726*E726,""))</f>
        <v/>
      </c>
      <c r="G726" s="12" t="str">
        <f aca="false">IF(C726="Venda",IF(COUNTIF(A$3:A725,A726)&gt;0,(E726-SUMPRODUCT((A$3:A725=A726)*(C$3:C725="Compra")*F$3:F725)/IF(SUMPRODUCT((A$3:A725=A726)*(C$3:C725="Compra")*D$3:D725)=0,1,SUMPRODUCT((A$3:A725=A726)*(C$3:C725="Compra")*D$3:D725)))*D726,0),"")</f>
        <v/>
      </c>
      <c r="H726" s="12" t="str">
        <f aca="false">IF(C726="Venda",E726*D726,"")</f>
        <v/>
      </c>
    </row>
    <row r="727" customFormat="false" ht="15" hidden="false" customHeight="false" outlineLevel="0" collapsed="false">
      <c r="A727" s="14" t="str">
        <f aca="false">IF(Transações!C727&lt;&gt;"",Transações!C727,"")</f>
        <v/>
      </c>
      <c r="B727" s="14" t="str">
        <f aca="false">IF(Transações!A727&lt;&gt;"",Transações!A727,"")</f>
        <v/>
      </c>
      <c r="C727" s="14" t="str">
        <f aca="false">IF(Transações!B727&lt;&gt;"",Transações!B727,"")</f>
        <v/>
      </c>
      <c r="D727" s="15" t="str">
        <f aca="false">IF(Transações!D727&lt;&gt;"",Transações!D727,"")</f>
        <v/>
      </c>
      <c r="E727" s="16" t="str">
        <f aca="false">IF(Transações!E727&lt;&gt;"",Transações!E727,"")</f>
        <v/>
      </c>
      <c r="F727" s="7" t="str">
        <f aca="false">IF(C727="Compra",D727*E727,IF(C727="Staking",D727*E727,""))</f>
        <v/>
      </c>
      <c r="G727" s="7" t="str">
        <f aca="false">IF(C727="Venda",IF(COUNTIF(A$3:A726,A727)&gt;0,(E727-SUMPRODUCT((A$3:A726=A727)*(C$3:C726="Compra")*F$3:F726)/IF(SUMPRODUCT((A$3:A726=A727)*(C$3:C726="Compra")*D$3:D726)=0,1,SUMPRODUCT((A$3:A726=A727)*(C$3:C726="Compra")*D$3:D726)))*D727,0),"")</f>
        <v/>
      </c>
      <c r="H727" s="7" t="str">
        <f aca="false">IF(C727="Venda",E727*D727,"")</f>
        <v/>
      </c>
    </row>
    <row r="728" customFormat="false" ht="15" hidden="false" customHeight="false" outlineLevel="0" collapsed="false">
      <c r="A728" s="17" t="str">
        <f aca="false">IF(Transações!C728&lt;&gt;"",Transações!C728,"")</f>
        <v/>
      </c>
      <c r="B728" s="17" t="str">
        <f aca="false">IF(Transações!A728&lt;&gt;"",Transações!A728,"")</f>
        <v/>
      </c>
      <c r="C728" s="17" t="str">
        <f aca="false">IF(Transações!B728&lt;&gt;"",Transações!B728,"")</f>
        <v/>
      </c>
      <c r="D728" s="18" t="str">
        <f aca="false">IF(Transações!D728&lt;&gt;"",Transações!D728,"")</f>
        <v/>
      </c>
      <c r="E728" s="19" t="str">
        <f aca="false">IF(Transações!E728&lt;&gt;"",Transações!E728,"")</f>
        <v/>
      </c>
      <c r="F728" s="12" t="str">
        <f aca="false">IF(C728="Compra",D728*E728,IF(C728="Staking",D728*E728,""))</f>
        <v/>
      </c>
      <c r="G728" s="12" t="str">
        <f aca="false">IF(C728="Venda",IF(COUNTIF(A$3:A727,A728)&gt;0,(E728-SUMPRODUCT((A$3:A727=A728)*(C$3:C727="Compra")*F$3:F727)/IF(SUMPRODUCT((A$3:A727=A728)*(C$3:C727="Compra")*D$3:D727)=0,1,SUMPRODUCT((A$3:A727=A728)*(C$3:C727="Compra")*D$3:D727)))*D728,0),"")</f>
        <v/>
      </c>
      <c r="H728" s="12" t="str">
        <f aca="false">IF(C728="Venda",E728*D728,"")</f>
        <v/>
      </c>
    </row>
    <row r="729" customFormat="false" ht="15" hidden="false" customHeight="false" outlineLevel="0" collapsed="false">
      <c r="A729" s="14" t="str">
        <f aca="false">IF(Transações!C729&lt;&gt;"",Transações!C729,"")</f>
        <v/>
      </c>
      <c r="B729" s="14" t="str">
        <f aca="false">IF(Transações!A729&lt;&gt;"",Transações!A729,"")</f>
        <v/>
      </c>
      <c r="C729" s="14" t="str">
        <f aca="false">IF(Transações!B729&lt;&gt;"",Transações!B729,"")</f>
        <v/>
      </c>
      <c r="D729" s="15" t="str">
        <f aca="false">IF(Transações!D729&lt;&gt;"",Transações!D729,"")</f>
        <v/>
      </c>
      <c r="E729" s="16" t="str">
        <f aca="false">IF(Transações!E729&lt;&gt;"",Transações!E729,"")</f>
        <v/>
      </c>
      <c r="F729" s="7" t="str">
        <f aca="false">IF(C729="Compra",D729*E729,IF(C729="Staking",D729*E729,""))</f>
        <v/>
      </c>
      <c r="G729" s="7" t="str">
        <f aca="false">IF(C729="Venda",IF(COUNTIF(A$3:A728,A729)&gt;0,(E729-SUMPRODUCT((A$3:A728=A729)*(C$3:C728="Compra")*F$3:F728)/IF(SUMPRODUCT((A$3:A728=A729)*(C$3:C728="Compra")*D$3:D728)=0,1,SUMPRODUCT((A$3:A728=A729)*(C$3:C728="Compra")*D$3:D728)))*D729,0),"")</f>
        <v/>
      </c>
      <c r="H729" s="7" t="str">
        <f aca="false">IF(C729="Venda",E729*D729,"")</f>
        <v/>
      </c>
    </row>
    <row r="730" customFormat="false" ht="15" hidden="false" customHeight="false" outlineLevel="0" collapsed="false">
      <c r="A730" s="17" t="str">
        <f aca="false">IF(Transações!C730&lt;&gt;"",Transações!C730,"")</f>
        <v/>
      </c>
      <c r="B730" s="17" t="str">
        <f aca="false">IF(Transações!A730&lt;&gt;"",Transações!A730,"")</f>
        <v/>
      </c>
      <c r="C730" s="17" t="str">
        <f aca="false">IF(Transações!B730&lt;&gt;"",Transações!B730,"")</f>
        <v/>
      </c>
      <c r="D730" s="18" t="str">
        <f aca="false">IF(Transações!D730&lt;&gt;"",Transações!D730,"")</f>
        <v/>
      </c>
      <c r="E730" s="19" t="str">
        <f aca="false">IF(Transações!E730&lt;&gt;"",Transações!E730,"")</f>
        <v/>
      </c>
      <c r="F730" s="12" t="str">
        <f aca="false">IF(C730="Compra",D730*E730,IF(C730="Staking",D730*E730,""))</f>
        <v/>
      </c>
      <c r="G730" s="12" t="str">
        <f aca="false">IF(C730="Venda",IF(COUNTIF(A$3:A729,A730)&gt;0,(E730-SUMPRODUCT((A$3:A729=A730)*(C$3:C729="Compra")*F$3:F729)/IF(SUMPRODUCT((A$3:A729=A730)*(C$3:C729="Compra")*D$3:D729)=0,1,SUMPRODUCT((A$3:A729=A730)*(C$3:C729="Compra")*D$3:D729)))*D730,0),"")</f>
        <v/>
      </c>
      <c r="H730" s="12" t="str">
        <f aca="false">IF(C730="Venda",E730*D730,"")</f>
        <v/>
      </c>
    </row>
    <row r="731" customFormat="false" ht="15" hidden="false" customHeight="false" outlineLevel="0" collapsed="false">
      <c r="A731" s="14" t="str">
        <f aca="false">IF(Transações!C731&lt;&gt;"",Transações!C731,"")</f>
        <v/>
      </c>
      <c r="B731" s="14" t="str">
        <f aca="false">IF(Transações!A731&lt;&gt;"",Transações!A731,"")</f>
        <v/>
      </c>
      <c r="C731" s="14" t="str">
        <f aca="false">IF(Transações!B731&lt;&gt;"",Transações!B731,"")</f>
        <v/>
      </c>
      <c r="D731" s="15" t="str">
        <f aca="false">IF(Transações!D731&lt;&gt;"",Transações!D731,"")</f>
        <v/>
      </c>
      <c r="E731" s="16" t="str">
        <f aca="false">IF(Transações!E731&lt;&gt;"",Transações!E731,"")</f>
        <v/>
      </c>
      <c r="F731" s="7" t="str">
        <f aca="false">IF(C731="Compra",D731*E731,IF(C731="Staking",D731*E731,""))</f>
        <v/>
      </c>
      <c r="G731" s="7" t="str">
        <f aca="false">IF(C731="Venda",IF(COUNTIF(A$3:A730,A731)&gt;0,(E731-SUMPRODUCT((A$3:A730=A731)*(C$3:C730="Compra")*F$3:F730)/IF(SUMPRODUCT((A$3:A730=A731)*(C$3:C730="Compra")*D$3:D730)=0,1,SUMPRODUCT((A$3:A730=A731)*(C$3:C730="Compra")*D$3:D730)))*D731,0),"")</f>
        <v/>
      </c>
      <c r="H731" s="7" t="str">
        <f aca="false">IF(C731="Venda",E731*D731,"")</f>
        <v/>
      </c>
    </row>
    <row r="732" customFormat="false" ht="15" hidden="false" customHeight="false" outlineLevel="0" collapsed="false">
      <c r="A732" s="17" t="str">
        <f aca="false">IF(Transações!C732&lt;&gt;"",Transações!C732,"")</f>
        <v/>
      </c>
      <c r="B732" s="17" t="str">
        <f aca="false">IF(Transações!A732&lt;&gt;"",Transações!A732,"")</f>
        <v/>
      </c>
      <c r="C732" s="17" t="str">
        <f aca="false">IF(Transações!B732&lt;&gt;"",Transações!B732,"")</f>
        <v/>
      </c>
      <c r="D732" s="18" t="str">
        <f aca="false">IF(Transações!D732&lt;&gt;"",Transações!D732,"")</f>
        <v/>
      </c>
      <c r="E732" s="19" t="str">
        <f aca="false">IF(Transações!E732&lt;&gt;"",Transações!E732,"")</f>
        <v/>
      </c>
      <c r="F732" s="12" t="str">
        <f aca="false">IF(C732="Compra",D732*E732,IF(C732="Staking",D732*E732,""))</f>
        <v/>
      </c>
      <c r="G732" s="12" t="str">
        <f aca="false">IF(C732="Venda",IF(COUNTIF(A$3:A731,A732)&gt;0,(E732-SUMPRODUCT((A$3:A731=A732)*(C$3:C731="Compra")*F$3:F731)/IF(SUMPRODUCT((A$3:A731=A732)*(C$3:C731="Compra")*D$3:D731)=0,1,SUMPRODUCT((A$3:A731=A732)*(C$3:C731="Compra")*D$3:D731)))*D732,0),"")</f>
        <v/>
      </c>
      <c r="H732" s="12" t="str">
        <f aca="false">IF(C732="Venda",E732*D732,"")</f>
        <v/>
      </c>
    </row>
    <row r="733" customFormat="false" ht="15" hidden="false" customHeight="false" outlineLevel="0" collapsed="false">
      <c r="A733" s="14" t="str">
        <f aca="false">IF(Transações!C733&lt;&gt;"",Transações!C733,"")</f>
        <v/>
      </c>
      <c r="B733" s="14" t="str">
        <f aca="false">IF(Transações!A733&lt;&gt;"",Transações!A733,"")</f>
        <v/>
      </c>
      <c r="C733" s="14" t="str">
        <f aca="false">IF(Transações!B733&lt;&gt;"",Transações!B733,"")</f>
        <v/>
      </c>
      <c r="D733" s="15" t="str">
        <f aca="false">IF(Transações!D733&lt;&gt;"",Transações!D733,"")</f>
        <v/>
      </c>
      <c r="E733" s="16" t="str">
        <f aca="false">IF(Transações!E733&lt;&gt;"",Transações!E733,"")</f>
        <v/>
      </c>
      <c r="F733" s="7" t="str">
        <f aca="false">IF(C733="Compra",D733*E733,IF(C733="Staking",D733*E733,""))</f>
        <v/>
      </c>
      <c r="G733" s="7" t="str">
        <f aca="false">IF(C733="Venda",IF(COUNTIF(A$3:A732,A733)&gt;0,(E733-SUMPRODUCT((A$3:A732=A733)*(C$3:C732="Compra")*F$3:F732)/IF(SUMPRODUCT((A$3:A732=A733)*(C$3:C732="Compra")*D$3:D732)=0,1,SUMPRODUCT((A$3:A732=A733)*(C$3:C732="Compra")*D$3:D732)))*D733,0),"")</f>
        <v/>
      </c>
      <c r="H733" s="7" t="str">
        <f aca="false">IF(C733="Venda",E733*D733,"")</f>
        <v/>
      </c>
    </row>
    <row r="734" customFormat="false" ht="15" hidden="false" customHeight="false" outlineLevel="0" collapsed="false">
      <c r="A734" s="17" t="str">
        <f aca="false">IF(Transações!C734&lt;&gt;"",Transações!C734,"")</f>
        <v/>
      </c>
      <c r="B734" s="17" t="str">
        <f aca="false">IF(Transações!A734&lt;&gt;"",Transações!A734,"")</f>
        <v/>
      </c>
      <c r="C734" s="17" t="str">
        <f aca="false">IF(Transações!B734&lt;&gt;"",Transações!B734,"")</f>
        <v/>
      </c>
      <c r="D734" s="18" t="str">
        <f aca="false">IF(Transações!D734&lt;&gt;"",Transações!D734,"")</f>
        <v/>
      </c>
      <c r="E734" s="19" t="str">
        <f aca="false">IF(Transações!E734&lt;&gt;"",Transações!E734,"")</f>
        <v/>
      </c>
      <c r="F734" s="12" t="str">
        <f aca="false">IF(C734="Compra",D734*E734,IF(C734="Staking",D734*E734,""))</f>
        <v/>
      </c>
      <c r="G734" s="12" t="str">
        <f aca="false">IF(C734="Venda",IF(COUNTIF(A$3:A733,A734)&gt;0,(E734-SUMPRODUCT((A$3:A733=A734)*(C$3:C733="Compra")*F$3:F733)/IF(SUMPRODUCT((A$3:A733=A734)*(C$3:C733="Compra")*D$3:D733)=0,1,SUMPRODUCT((A$3:A733=A734)*(C$3:C733="Compra")*D$3:D733)))*D734,0),"")</f>
        <v/>
      </c>
      <c r="H734" s="12" t="str">
        <f aca="false">IF(C734="Venda",E734*D734,"")</f>
        <v/>
      </c>
    </row>
    <row r="735" customFormat="false" ht="15" hidden="false" customHeight="false" outlineLevel="0" collapsed="false">
      <c r="A735" s="14" t="str">
        <f aca="false">IF(Transações!C735&lt;&gt;"",Transações!C735,"")</f>
        <v/>
      </c>
      <c r="B735" s="14" t="str">
        <f aca="false">IF(Transações!A735&lt;&gt;"",Transações!A735,"")</f>
        <v/>
      </c>
      <c r="C735" s="14" t="str">
        <f aca="false">IF(Transações!B735&lt;&gt;"",Transações!B735,"")</f>
        <v/>
      </c>
      <c r="D735" s="15" t="str">
        <f aca="false">IF(Transações!D735&lt;&gt;"",Transações!D735,"")</f>
        <v/>
      </c>
      <c r="E735" s="16" t="str">
        <f aca="false">IF(Transações!E735&lt;&gt;"",Transações!E735,"")</f>
        <v/>
      </c>
      <c r="F735" s="7" t="str">
        <f aca="false">IF(C735="Compra",D735*E735,IF(C735="Staking",D735*E735,""))</f>
        <v/>
      </c>
      <c r="G735" s="7" t="str">
        <f aca="false">IF(C735="Venda",IF(COUNTIF(A$3:A734,A735)&gt;0,(E735-SUMPRODUCT((A$3:A734=A735)*(C$3:C734="Compra")*F$3:F734)/IF(SUMPRODUCT((A$3:A734=A735)*(C$3:C734="Compra")*D$3:D734)=0,1,SUMPRODUCT((A$3:A734=A735)*(C$3:C734="Compra")*D$3:D734)))*D735,0),"")</f>
        <v/>
      </c>
      <c r="H735" s="7" t="str">
        <f aca="false">IF(C735="Venda",E735*D735,"")</f>
        <v/>
      </c>
    </row>
    <row r="736" customFormat="false" ht="15" hidden="false" customHeight="false" outlineLevel="0" collapsed="false">
      <c r="A736" s="17" t="str">
        <f aca="false">IF(Transações!C736&lt;&gt;"",Transações!C736,"")</f>
        <v/>
      </c>
      <c r="B736" s="17" t="str">
        <f aca="false">IF(Transações!A736&lt;&gt;"",Transações!A736,"")</f>
        <v/>
      </c>
      <c r="C736" s="17" t="str">
        <f aca="false">IF(Transações!B736&lt;&gt;"",Transações!B736,"")</f>
        <v/>
      </c>
      <c r="D736" s="18" t="str">
        <f aca="false">IF(Transações!D736&lt;&gt;"",Transações!D736,"")</f>
        <v/>
      </c>
      <c r="E736" s="19" t="str">
        <f aca="false">IF(Transações!E736&lt;&gt;"",Transações!E736,"")</f>
        <v/>
      </c>
      <c r="F736" s="12" t="str">
        <f aca="false">IF(C736="Compra",D736*E736,IF(C736="Staking",D736*E736,""))</f>
        <v/>
      </c>
      <c r="G736" s="12" t="str">
        <f aca="false">IF(C736="Venda",IF(COUNTIF(A$3:A735,A736)&gt;0,(E736-SUMPRODUCT((A$3:A735=A736)*(C$3:C735="Compra")*F$3:F735)/IF(SUMPRODUCT((A$3:A735=A736)*(C$3:C735="Compra")*D$3:D735)=0,1,SUMPRODUCT((A$3:A735=A736)*(C$3:C735="Compra")*D$3:D735)))*D736,0),"")</f>
        <v/>
      </c>
      <c r="H736" s="12" t="str">
        <f aca="false">IF(C736="Venda",E736*D736,"")</f>
        <v/>
      </c>
    </row>
    <row r="737" customFormat="false" ht="15" hidden="false" customHeight="false" outlineLevel="0" collapsed="false">
      <c r="A737" s="14" t="str">
        <f aca="false">IF(Transações!C737&lt;&gt;"",Transações!C737,"")</f>
        <v/>
      </c>
      <c r="B737" s="14" t="str">
        <f aca="false">IF(Transações!A737&lt;&gt;"",Transações!A737,"")</f>
        <v/>
      </c>
      <c r="C737" s="14" t="str">
        <f aca="false">IF(Transações!B737&lt;&gt;"",Transações!B737,"")</f>
        <v/>
      </c>
      <c r="D737" s="15" t="str">
        <f aca="false">IF(Transações!D737&lt;&gt;"",Transações!D737,"")</f>
        <v/>
      </c>
      <c r="E737" s="16" t="str">
        <f aca="false">IF(Transações!E737&lt;&gt;"",Transações!E737,"")</f>
        <v/>
      </c>
      <c r="F737" s="7" t="str">
        <f aca="false">IF(C737="Compra",D737*E737,IF(C737="Staking",D737*E737,""))</f>
        <v/>
      </c>
      <c r="G737" s="7" t="str">
        <f aca="false">IF(C737="Venda",IF(COUNTIF(A$3:A736,A737)&gt;0,(E737-SUMPRODUCT((A$3:A736=A737)*(C$3:C736="Compra")*F$3:F736)/IF(SUMPRODUCT((A$3:A736=A737)*(C$3:C736="Compra")*D$3:D736)=0,1,SUMPRODUCT((A$3:A736=A737)*(C$3:C736="Compra")*D$3:D736)))*D737,0),"")</f>
        <v/>
      </c>
      <c r="H737" s="7" t="str">
        <f aca="false">IF(C737="Venda",E737*D737,"")</f>
        <v/>
      </c>
    </row>
    <row r="738" customFormat="false" ht="15" hidden="false" customHeight="false" outlineLevel="0" collapsed="false">
      <c r="A738" s="17" t="str">
        <f aca="false">IF(Transações!C738&lt;&gt;"",Transações!C738,"")</f>
        <v/>
      </c>
      <c r="B738" s="17" t="str">
        <f aca="false">IF(Transações!A738&lt;&gt;"",Transações!A738,"")</f>
        <v/>
      </c>
      <c r="C738" s="17" t="str">
        <f aca="false">IF(Transações!B738&lt;&gt;"",Transações!B738,"")</f>
        <v/>
      </c>
      <c r="D738" s="18" t="str">
        <f aca="false">IF(Transações!D738&lt;&gt;"",Transações!D738,"")</f>
        <v/>
      </c>
      <c r="E738" s="19" t="str">
        <f aca="false">IF(Transações!E738&lt;&gt;"",Transações!E738,"")</f>
        <v/>
      </c>
      <c r="F738" s="12" t="str">
        <f aca="false">IF(C738="Compra",D738*E738,IF(C738="Staking",D738*E738,""))</f>
        <v/>
      </c>
      <c r="G738" s="12" t="str">
        <f aca="false">IF(C738="Venda",IF(COUNTIF(A$3:A737,A738)&gt;0,(E738-SUMPRODUCT((A$3:A737=A738)*(C$3:C737="Compra")*F$3:F737)/IF(SUMPRODUCT((A$3:A737=A738)*(C$3:C737="Compra")*D$3:D737)=0,1,SUMPRODUCT((A$3:A737=A738)*(C$3:C737="Compra")*D$3:D737)))*D738,0),"")</f>
        <v/>
      </c>
      <c r="H738" s="12" t="str">
        <f aca="false">IF(C738="Venda",E738*D738,"")</f>
        <v/>
      </c>
    </row>
    <row r="739" customFormat="false" ht="15" hidden="false" customHeight="false" outlineLevel="0" collapsed="false">
      <c r="A739" s="14" t="str">
        <f aca="false">IF(Transações!C739&lt;&gt;"",Transações!C739,"")</f>
        <v/>
      </c>
      <c r="B739" s="14" t="str">
        <f aca="false">IF(Transações!A739&lt;&gt;"",Transações!A739,"")</f>
        <v/>
      </c>
      <c r="C739" s="14" t="str">
        <f aca="false">IF(Transações!B739&lt;&gt;"",Transações!B739,"")</f>
        <v/>
      </c>
      <c r="D739" s="15" t="str">
        <f aca="false">IF(Transações!D739&lt;&gt;"",Transações!D739,"")</f>
        <v/>
      </c>
      <c r="E739" s="16" t="str">
        <f aca="false">IF(Transações!E739&lt;&gt;"",Transações!E739,"")</f>
        <v/>
      </c>
      <c r="F739" s="7" t="str">
        <f aca="false">IF(C739="Compra",D739*E739,IF(C739="Staking",D739*E739,""))</f>
        <v/>
      </c>
      <c r="G739" s="7" t="str">
        <f aca="false">IF(C739="Venda",IF(COUNTIF(A$3:A738,A739)&gt;0,(E739-SUMPRODUCT((A$3:A738=A739)*(C$3:C738="Compra")*F$3:F738)/IF(SUMPRODUCT((A$3:A738=A739)*(C$3:C738="Compra")*D$3:D738)=0,1,SUMPRODUCT((A$3:A738=A739)*(C$3:C738="Compra")*D$3:D738)))*D739,0),"")</f>
        <v/>
      </c>
      <c r="H739" s="7" t="str">
        <f aca="false">IF(C739="Venda",E739*D739,"")</f>
        <v/>
      </c>
    </row>
    <row r="740" customFormat="false" ht="15" hidden="false" customHeight="false" outlineLevel="0" collapsed="false">
      <c r="A740" s="17" t="str">
        <f aca="false">IF(Transações!C740&lt;&gt;"",Transações!C740,"")</f>
        <v/>
      </c>
      <c r="B740" s="17" t="str">
        <f aca="false">IF(Transações!A740&lt;&gt;"",Transações!A740,"")</f>
        <v/>
      </c>
      <c r="C740" s="17" t="str">
        <f aca="false">IF(Transações!B740&lt;&gt;"",Transações!B740,"")</f>
        <v/>
      </c>
      <c r="D740" s="18" t="str">
        <f aca="false">IF(Transações!D740&lt;&gt;"",Transações!D740,"")</f>
        <v/>
      </c>
      <c r="E740" s="19" t="str">
        <f aca="false">IF(Transações!E740&lt;&gt;"",Transações!E740,"")</f>
        <v/>
      </c>
      <c r="F740" s="12" t="str">
        <f aca="false">IF(C740="Compra",D740*E740,IF(C740="Staking",D740*E740,""))</f>
        <v/>
      </c>
      <c r="G740" s="12" t="str">
        <f aca="false">IF(C740="Venda",IF(COUNTIF(A$3:A739,A740)&gt;0,(E740-SUMPRODUCT((A$3:A739=A740)*(C$3:C739="Compra")*F$3:F739)/IF(SUMPRODUCT((A$3:A739=A740)*(C$3:C739="Compra")*D$3:D739)=0,1,SUMPRODUCT((A$3:A739=A740)*(C$3:C739="Compra")*D$3:D739)))*D740,0),"")</f>
        <v/>
      </c>
      <c r="H740" s="12" t="str">
        <f aca="false">IF(C740="Venda",E740*D740,"")</f>
        <v/>
      </c>
    </row>
    <row r="741" customFormat="false" ht="15" hidden="false" customHeight="false" outlineLevel="0" collapsed="false">
      <c r="A741" s="14" t="str">
        <f aca="false">IF(Transações!C741&lt;&gt;"",Transações!C741,"")</f>
        <v/>
      </c>
      <c r="B741" s="14" t="str">
        <f aca="false">IF(Transações!A741&lt;&gt;"",Transações!A741,"")</f>
        <v/>
      </c>
      <c r="C741" s="14" t="str">
        <f aca="false">IF(Transações!B741&lt;&gt;"",Transações!B741,"")</f>
        <v/>
      </c>
      <c r="D741" s="15" t="str">
        <f aca="false">IF(Transações!D741&lt;&gt;"",Transações!D741,"")</f>
        <v/>
      </c>
      <c r="E741" s="16" t="str">
        <f aca="false">IF(Transações!E741&lt;&gt;"",Transações!E741,"")</f>
        <v/>
      </c>
      <c r="F741" s="7" t="str">
        <f aca="false">IF(C741="Compra",D741*E741,IF(C741="Staking",D741*E741,""))</f>
        <v/>
      </c>
      <c r="G741" s="7" t="str">
        <f aca="false">IF(C741="Venda",IF(COUNTIF(A$3:A740,A741)&gt;0,(E741-SUMPRODUCT((A$3:A740=A741)*(C$3:C740="Compra")*F$3:F740)/IF(SUMPRODUCT((A$3:A740=A741)*(C$3:C740="Compra")*D$3:D740)=0,1,SUMPRODUCT((A$3:A740=A741)*(C$3:C740="Compra")*D$3:D740)))*D741,0),"")</f>
        <v/>
      </c>
      <c r="H741" s="7" t="str">
        <f aca="false">IF(C741="Venda",E741*D741,"")</f>
        <v/>
      </c>
    </row>
    <row r="742" customFormat="false" ht="15" hidden="false" customHeight="false" outlineLevel="0" collapsed="false">
      <c r="A742" s="17" t="str">
        <f aca="false">IF(Transações!C742&lt;&gt;"",Transações!C742,"")</f>
        <v/>
      </c>
      <c r="B742" s="17" t="str">
        <f aca="false">IF(Transações!A742&lt;&gt;"",Transações!A742,"")</f>
        <v/>
      </c>
      <c r="C742" s="17" t="str">
        <f aca="false">IF(Transações!B742&lt;&gt;"",Transações!B742,"")</f>
        <v/>
      </c>
      <c r="D742" s="18" t="str">
        <f aca="false">IF(Transações!D742&lt;&gt;"",Transações!D742,"")</f>
        <v/>
      </c>
      <c r="E742" s="19" t="str">
        <f aca="false">IF(Transações!E742&lt;&gt;"",Transações!E742,"")</f>
        <v/>
      </c>
      <c r="F742" s="12" t="str">
        <f aca="false">IF(C742="Compra",D742*E742,IF(C742="Staking",D742*E742,""))</f>
        <v/>
      </c>
      <c r="G742" s="12" t="str">
        <f aca="false">IF(C742="Venda",IF(COUNTIF(A$3:A741,A742)&gt;0,(E742-SUMPRODUCT((A$3:A741=A742)*(C$3:C741="Compra")*F$3:F741)/IF(SUMPRODUCT((A$3:A741=A742)*(C$3:C741="Compra")*D$3:D741)=0,1,SUMPRODUCT((A$3:A741=A742)*(C$3:C741="Compra")*D$3:D741)))*D742,0),"")</f>
        <v/>
      </c>
      <c r="H742" s="12" t="str">
        <f aca="false">IF(C742="Venda",E742*D742,"")</f>
        <v/>
      </c>
    </row>
    <row r="743" customFormat="false" ht="15" hidden="false" customHeight="false" outlineLevel="0" collapsed="false">
      <c r="A743" s="14" t="str">
        <f aca="false">IF(Transações!C743&lt;&gt;"",Transações!C743,"")</f>
        <v/>
      </c>
      <c r="B743" s="14" t="str">
        <f aca="false">IF(Transações!A743&lt;&gt;"",Transações!A743,"")</f>
        <v/>
      </c>
      <c r="C743" s="14" t="str">
        <f aca="false">IF(Transações!B743&lt;&gt;"",Transações!B743,"")</f>
        <v/>
      </c>
      <c r="D743" s="15" t="str">
        <f aca="false">IF(Transações!D743&lt;&gt;"",Transações!D743,"")</f>
        <v/>
      </c>
      <c r="E743" s="16" t="str">
        <f aca="false">IF(Transações!E743&lt;&gt;"",Transações!E743,"")</f>
        <v/>
      </c>
      <c r="F743" s="7" t="str">
        <f aca="false">IF(C743="Compra",D743*E743,IF(C743="Staking",D743*E743,""))</f>
        <v/>
      </c>
      <c r="G743" s="7" t="str">
        <f aca="false">IF(C743="Venda",IF(COUNTIF(A$3:A742,A743)&gt;0,(E743-SUMPRODUCT((A$3:A742=A743)*(C$3:C742="Compra")*F$3:F742)/IF(SUMPRODUCT((A$3:A742=A743)*(C$3:C742="Compra")*D$3:D742)=0,1,SUMPRODUCT((A$3:A742=A743)*(C$3:C742="Compra")*D$3:D742)))*D743,0),"")</f>
        <v/>
      </c>
      <c r="H743" s="7" t="str">
        <f aca="false">IF(C743="Venda",E743*D743,"")</f>
        <v/>
      </c>
    </row>
    <row r="744" customFormat="false" ht="15" hidden="false" customHeight="false" outlineLevel="0" collapsed="false">
      <c r="A744" s="17" t="str">
        <f aca="false">IF(Transações!C744&lt;&gt;"",Transações!C744,"")</f>
        <v/>
      </c>
      <c r="B744" s="17" t="str">
        <f aca="false">IF(Transações!A744&lt;&gt;"",Transações!A744,"")</f>
        <v/>
      </c>
      <c r="C744" s="17" t="str">
        <f aca="false">IF(Transações!B744&lt;&gt;"",Transações!B744,"")</f>
        <v/>
      </c>
      <c r="D744" s="18" t="str">
        <f aca="false">IF(Transações!D744&lt;&gt;"",Transações!D744,"")</f>
        <v/>
      </c>
      <c r="E744" s="19" t="str">
        <f aca="false">IF(Transações!E744&lt;&gt;"",Transações!E744,"")</f>
        <v/>
      </c>
      <c r="F744" s="12" t="str">
        <f aca="false">IF(C744="Compra",D744*E744,IF(C744="Staking",D744*E744,""))</f>
        <v/>
      </c>
      <c r="G744" s="12" t="str">
        <f aca="false">IF(C744="Venda",IF(COUNTIF(A$3:A743,A744)&gt;0,(E744-SUMPRODUCT((A$3:A743=A744)*(C$3:C743="Compra")*F$3:F743)/IF(SUMPRODUCT((A$3:A743=A744)*(C$3:C743="Compra")*D$3:D743)=0,1,SUMPRODUCT((A$3:A743=A744)*(C$3:C743="Compra")*D$3:D743)))*D744,0),"")</f>
        <v/>
      </c>
      <c r="H744" s="12" t="str">
        <f aca="false">IF(C744="Venda",E744*D744,"")</f>
        <v/>
      </c>
    </row>
    <row r="745" customFormat="false" ht="15" hidden="false" customHeight="false" outlineLevel="0" collapsed="false">
      <c r="A745" s="14" t="str">
        <f aca="false">IF(Transações!C745&lt;&gt;"",Transações!C745,"")</f>
        <v/>
      </c>
      <c r="B745" s="14" t="str">
        <f aca="false">IF(Transações!A745&lt;&gt;"",Transações!A745,"")</f>
        <v/>
      </c>
      <c r="C745" s="14" t="str">
        <f aca="false">IF(Transações!B745&lt;&gt;"",Transações!B745,"")</f>
        <v/>
      </c>
      <c r="D745" s="15" t="str">
        <f aca="false">IF(Transações!D745&lt;&gt;"",Transações!D745,"")</f>
        <v/>
      </c>
      <c r="E745" s="16" t="str">
        <f aca="false">IF(Transações!E745&lt;&gt;"",Transações!E745,"")</f>
        <v/>
      </c>
      <c r="F745" s="7" t="str">
        <f aca="false">IF(C745="Compra",D745*E745,IF(C745="Staking",D745*E745,""))</f>
        <v/>
      </c>
      <c r="G745" s="7" t="str">
        <f aca="false">IF(C745="Venda",IF(COUNTIF(A$3:A744,A745)&gt;0,(E745-SUMPRODUCT((A$3:A744=A745)*(C$3:C744="Compra")*F$3:F744)/IF(SUMPRODUCT((A$3:A744=A745)*(C$3:C744="Compra")*D$3:D744)=0,1,SUMPRODUCT((A$3:A744=A745)*(C$3:C744="Compra")*D$3:D744)))*D745,0),"")</f>
        <v/>
      </c>
      <c r="H745" s="7" t="str">
        <f aca="false">IF(C745="Venda",E745*D745,"")</f>
        <v/>
      </c>
    </row>
    <row r="746" customFormat="false" ht="15" hidden="false" customHeight="false" outlineLevel="0" collapsed="false">
      <c r="A746" s="17" t="str">
        <f aca="false">IF(Transações!C746&lt;&gt;"",Transações!C746,"")</f>
        <v/>
      </c>
      <c r="B746" s="17" t="str">
        <f aca="false">IF(Transações!A746&lt;&gt;"",Transações!A746,"")</f>
        <v/>
      </c>
      <c r="C746" s="17" t="str">
        <f aca="false">IF(Transações!B746&lt;&gt;"",Transações!B746,"")</f>
        <v/>
      </c>
      <c r="D746" s="18" t="str">
        <f aca="false">IF(Transações!D746&lt;&gt;"",Transações!D746,"")</f>
        <v/>
      </c>
      <c r="E746" s="19" t="str">
        <f aca="false">IF(Transações!E746&lt;&gt;"",Transações!E746,"")</f>
        <v/>
      </c>
      <c r="F746" s="12" t="str">
        <f aca="false">IF(C746="Compra",D746*E746,IF(C746="Staking",D746*E746,""))</f>
        <v/>
      </c>
      <c r="G746" s="12" t="str">
        <f aca="false">IF(C746="Venda",IF(COUNTIF(A$3:A745,A746)&gt;0,(E746-SUMPRODUCT((A$3:A745=A746)*(C$3:C745="Compra")*F$3:F745)/IF(SUMPRODUCT((A$3:A745=A746)*(C$3:C745="Compra")*D$3:D745)=0,1,SUMPRODUCT((A$3:A745=A746)*(C$3:C745="Compra")*D$3:D745)))*D746,0),"")</f>
        <v/>
      </c>
      <c r="H746" s="12" t="str">
        <f aca="false">IF(C746="Venda",E746*D746,"")</f>
        <v/>
      </c>
    </row>
    <row r="747" customFormat="false" ht="15" hidden="false" customHeight="false" outlineLevel="0" collapsed="false">
      <c r="A747" s="14" t="str">
        <f aca="false">IF(Transações!C747&lt;&gt;"",Transações!C747,"")</f>
        <v/>
      </c>
      <c r="B747" s="14" t="str">
        <f aca="false">IF(Transações!A747&lt;&gt;"",Transações!A747,"")</f>
        <v/>
      </c>
      <c r="C747" s="14" t="str">
        <f aca="false">IF(Transações!B747&lt;&gt;"",Transações!B747,"")</f>
        <v/>
      </c>
      <c r="D747" s="15" t="str">
        <f aca="false">IF(Transações!D747&lt;&gt;"",Transações!D747,"")</f>
        <v/>
      </c>
      <c r="E747" s="16" t="str">
        <f aca="false">IF(Transações!E747&lt;&gt;"",Transações!E747,"")</f>
        <v/>
      </c>
      <c r="F747" s="7" t="str">
        <f aca="false">IF(C747="Compra",D747*E747,IF(C747="Staking",D747*E747,""))</f>
        <v/>
      </c>
      <c r="G747" s="7" t="str">
        <f aca="false">IF(C747="Venda",IF(COUNTIF(A$3:A746,A747)&gt;0,(E747-SUMPRODUCT((A$3:A746=A747)*(C$3:C746="Compra")*F$3:F746)/IF(SUMPRODUCT((A$3:A746=A747)*(C$3:C746="Compra")*D$3:D746)=0,1,SUMPRODUCT((A$3:A746=A747)*(C$3:C746="Compra")*D$3:D746)))*D747,0),"")</f>
        <v/>
      </c>
      <c r="H747" s="7" t="str">
        <f aca="false">IF(C747="Venda",E747*D747,"")</f>
        <v/>
      </c>
    </row>
    <row r="748" customFormat="false" ht="15" hidden="false" customHeight="false" outlineLevel="0" collapsed="false">
      <c r="A748" s="17" t="str">
        <f aca="false">IF(Transações!C748&lt;&gt;"",Transações!C748,"")</f>
        <v/>
      </c>
      <c r="B748" s="17" t="str">
        <f aca="false">IF(Transações!A748&lt;&gt;"",Transações!A748,"")</f>
        <v/>
      </c>
      <c r="C748" s="17" t="str">
        <f aca="false">IF(Transações!B748&lt;&gt;"",Transações!B748,"")</f>
        <v/>
      </c>
      <c r="D748" s="18" t="str">
        <f aca="false">IF(Transações!D748&lt;&gt;"",Transações!D748,"")</f>
        <v/>
      </c>
      <c r="E748" s="19" t="str">
        <f aca="false">IF(Transações!E748&lt;&gt;"",Transações!E748,"")</f>
        <v/>
      </c>
      <c r="F748" s="12" t="str">
        <f aca="false">IF(C748="Compra",D748*E748,IF(C748="Staking",D748*E748,""))</f>
        <v/>
      </c>
      <c r="G748" s="12" t="str">
        <f aca="false">IF(C748="Venda",IF(COUNTIF(A$3:A747,A748)&gt;0,(E748-SUMPRODUCT((A$3:A747=A748)*(C$3:C747="Compra")*F$3:F747)/IF(SUMPRODUCT((A$3:A747=A748)*(C$3:C747="Compra")*D$3:D747)=0,1,SUMPRODUCT((A$3:A747=A748)*(C$3:C747="Compra")*D$3:D747)))*D748,0),"")</f>
        <v/>
      </c>
      <c r="H748" s="12" t="str">
        <f aca="false">IF(C748="Venda",E748*D748,"")</f>
        <v/>
      </c>
    </row>
    <row r="749" customFormat="false" ht="15" hidden="false" customHeight="false" outlineLevel="0" collapsed="false">
      <c r="A749" s="14" t="str">
        <f aca="false">IF(Transações!C749&lt;&gt;"",Transações!C749,"")</f>
        <v/>
      </c>
      <c r="B749" s="14" t="str">
        <f aca="false">IF(Transações!A749&lt;&gt;"",Transações!A749,"")</f>
        <v/>
      </c>
      <c r="C749" s="14" t="str">
        <f aca="false">IF(Transações!B749&lt;&gt;"",Transações!B749,"")</f>
        <v/>
      </c>
      <c r="D749" s="15" t="str">
        <f aca="false">IF(Transações!D749&lt;&gt;"",Transações!D749,"")</f>
        <v/>
      </c>
      <c r="E749" s="16" t="str">
        <f aca="false">IF(Transações!E749&lt;&gt;"",Transações!E749,"")</f>
        <v/>
      </c>
      <c r="F749" s="7" t="str">
        <f aca="false">IF(C749="Compra",D749*E749,IF(C749="Staking",D749*E749,""))</f>
        <v/>
      </c>
      <c r="G749" s="7" t="str">
        <f aca="false">IF(C749="Venda",IF(COUNTIF(A$3:A748,A749)&gt;0,(E749-SUMPRODUCT((A$3:A748=A749)*(C$3:C748="Compra")*F$3:F748)/IF(SUMPRODUCT((A$3:A748=A749)*(C$3:C748="Compra")*D$3:D748)=0,1,SUMPRODUCT((A$3:A748=A749)*(C$3:C748="Compra")*D$3:D748)))*D749,0),"")</f>
        <v/>
      </c>
      <c r="H749" s="7" t="str">
        <f aca="false">IF(C749="Venda",E749*D749,"")</f>
        <v/>
      </c>
    </row>
    <row r="750" customFormat="false" ht="15" hidden="false" customHeight="false" outlineLevel="0" collapsed="false">
      <c r="A750" s="17" t="str">
        <f aca="false">IF(Transações!C750&lt;&gt;"",Transações!C750,"")</f>
        <v/>
      </c>
      <c r="B750" s="17" t="str">
        <f aca="false">IF(Transações!A750&lt;&gt;"",Transações!A750,"")</f>
        <v/>
      </c>
      <c r="C750" s="17" t="str">
        <f aca="false">IF(Transações!B750&lt;&gt;"",Transações!B750,"")</f>
        <v/>
      </c>
      <c r="D750" s="18" t="str">
        <f aca="false">IF(Transações!D750&lt;&gt;"",Transações!D750,"")</f>
        <v/>
      </c>
      <c r="E750" s="19" t="str">
        <f aca="false">IF(Transações!E750&lt;&gt;"",Transações!E750,"")</f>
        <v/>
      </c>
      <c r="F750" s="12" t="str">
        <f aca="false">IF(C750="Compra",D750*E750,IF(C750="Staking",D750*E750,""))</f>
        <v/>
      </c>
      <c r="G750" s="12" t="str">
        <f aca="false">IF(C750="Venda",IF(COUNTIF(A$3:A749,A750)&gt;0,(E750-SUMPRODUCT((A$3:A749=A750)*(C$3:C749="Compra")*F$3:F749)/IF(SUMPRODUCT((A$3:A749=A750)*(C$3:C749="Compra")*D$3:D749)=0,1,SUMPRODUCT((A$3:A749=A750)*(C$3:C749="Compra")*D$3:D749)))*D750,0),"")</f>
        <v/>
      </c>
      <c r="H750" s="12" t="str">
        <f aca="false">IF(C750="Venda",E750*D750,"")</f>
        <v/>
      </c>
    </row>
    <row r="751" customFormat="false" ht="15" hidden="false" customHeight="false" outlineLevel="0" collapsed="false">
      <c r="A751" s="14" t="str">
        <f aca="false">IF(Transações!C751&lt;&gt;"",Transações!C751,"")</f>
        <v/>
      </c>
      <c r="B751" s="14" t="str">
        <f aca="false">IF(Transações!A751&lt;&gt;"",Transações!A751,"")</f>
        <v/>
      </c>
      <c r="C751" s="14" t="str">
        <f aca="false">IF(Transações!B751&lt;&gt;"",Transações!B751,"")</f>
        <v/>
      </c>
      <c r="D751" s="15" t="str">
        <f aca="false">IF(Transações!D751&lt;&gt;"",Transações!D751,"")</f>
        <v/>
      </c>
      <c r="E751" s="16" t="str">
        <f aca="false">IF(Transações!E751&lt;&gt;"",Transações!E751,"")</f>
        <v/>
      </c>
      <c r="F751" s="7" t="str">
        <f aca="false">IF(C751="Compra",D751*E751,IF(C751="Staking",D751*E751,""))</f>
        <v/>
      </c>
      <c r="G751" s="7" t="str">
        <f aca="false">IF(C751="Venda",IF(COUNTIF(A$3:A750,A751)&gt;0,(E751-SUMPRODUCT((A$3:A750=A751)*(C$3:C750="Compra")*F$3:F750)/IF(SUMPRODUCT((A$3:A750=A751)*(C$3:C750="Compra")*D$3:D750)=0,1,SUMPRODUCT((A$3:A750=A751)*(C$3:C750="Compra")*D$3:D750)))*D751,0),"")</f>
        <v/>
      </c>
      <c r="H751" s="7" t="str">
        <f aca="false">IF(C751="Venda",E751*D751,"")</f>
        <v/>
      </c>
    </row>
    <row r="752" customFormat="false" ht="15" hidden="false" customHeight="false" outlineLevel="0" collapsed="false">
      <c r="A752" s="17" t="str">
        <f aca="false">IF(Transações!C752&lt;&gt;"",Transações!C752,"")</f>
        <v/>
      </c>
      <c r="B752" s="17" t="str">
        <f aca="false">IF(Transações!A752&lt;&gt;"",Transações!A752,"")</f>
        <v/>
      </c>
      <c r="C752" s="17" t="str">
        <f aca="false">IF(Transações!B752&lt;&gt;"",Transações!B752,"")</f>
        <v/>
      </c>
      <c r="D752" s="18" t="str">
        <f aca="false">IF(Transações!D752&lt;&gt;"",Transações!D752,"")</f>
        <v/>
      </c>
      <c r="E752" s="19" t="str">
        <f aca="false">IF(Transações!E752&lt;&gt;"",Transações!E752,"")</f>
        <v/>
      </c>
      <c r="F752" s="12" t="str">
        <f aca="false">IF(C752="Compra",D752*E752,IF(C752="Staking",D752*E752,""))</f>
        <v/>
      </c>
      <c r="G752" s="12" t="str">
        <f aca="false">IF(C752="Venda",IF(COUNTIF(A$3:A751,A752)&gt;0,(E752-SUMPRODUCT((A$3:A751=A752)*(C$3:C751="Compra")*F$3:F751)/IF(SUMPRODUCT((A$3:A751=A752)*(C$3:C751="Compra")*D$3:D751)=0,1,SUMPRODUCT((A$3:A751=A752)*(C$3:C751="Compra")*D$3:D751)))*D752,0),"")</f>
        <v/>
      </c>
      <c r="H752" s="12" t="str">
        <f aca="false">IF(C752="Venda",E752*D752,"")</f>
        <v/>
      </c>
    </row>
    <row r="753" customFormat="false" ht="15" hidden="false" customHeight="false" outlineLevel="0" collapsed="false">
      <c r="A753" s="14" t="str">
        <f aca="false">IF(Transações!C753&lt;&gt;"",Transações!C753,"")</f>
        <v/>
      </c>
      <c r="B753" s="14" t="str">
        <f aca="false">IF(Transações!A753&lt;&gt;"",Transações!A753,"")</f>
        <v/>
      </c>
      <c r="C753" s="14" t="str">
        <f aca="false">IF(Transações!B753&lt;&gt;"",Transações!B753,"")</f>
        <v/>
      </c>
      <c r="D753" s="15" t="str">
        <f aca="false">IF(Transações!D753&lt;&gt;"",Transações!D753,"")</f>
        <v/>
      </c>
      <c r="E753" s="16" t="str">
        <f aca="false">IF(Transações!E753&lt;&gt;"",Transações!E753,"")</f>
        <v/>
      </c>
      <c r="F753" s="7" t="str">
        <f aca="false">IF(C753="Compra",D753*E753,IF(C753="Staking",D753*E753,""))</f>
        <v/>
      </c>
      <c r="G753" s="7" t="str">
        <f aca="false">IF(C753="Venda",IF(COUNTIF(A$3:A752,A753)&gt;0,(E753-SUMPRODUCT((A$3:A752=A753)*(C$3:C752="Compra")*F$3:F752)/IF(SUMPRODUCT((A$3:A752=A753)*(C$3:C752="Compra")*D$3:D752)=0,1,SUMPRODUCT((A$3:A752=A753)*(C$3:C752="Compra")*D$3:D752)))*D753,0),"")</f>
        <v/>
      </c>
      <c r="H753" s="7" t="str">
        <f aca="false">IF(C753="Venda",E753*D753,"")</f>
        <v/>
      </c>
    </row>
    <row r="754" customFormat="false" ht="15" hidden="false" customHeight="false" outlineLevel="0" collapsed="false">
      <c r="A754" s="17" t="str">
        <f aca="false">IF(Transações!C754&lt;&gt;"",Transações!C754,"")</f>
        <v/>
      </c>
      <c r="B754" s="17" t="str">
        <f aca="false">IF(Transações!A754&lt;&gt;"",Transações!A754,"")</f>
        <v/>
      </c>
      <c r="C754" s="17" t="str">
        <f aca="false">IF(Transações!B754&lt;&gt;"",Transações!B754,"")</f>
        <v/>
      </c>
      <c r="D754" s="18" t="str">
        <f aca="false">IF(Transações!D754&lt;&gt;"",Transações!D754,"")</f>
        <v/>
      </c>
      <c r="E754" s="19" t="str">
        <f aca="false">IF(Transações!E754&lt;&gt;"",Transações!E754,"")</f>
        <v/>
      </c>
      <c r="F754" s="12" t="str">
        <f aca="false">IF(C754="Compra",D754*E754,IF(C754="Staking",D754*E754,""))</f>
        <v/>
      </c>
      <c r="G754" s="12" t="str">
        <f aca="false">IF(C754="Venda",IF(COUNTIF(A$3:A753,A754)&gt;0,(E754-SUMPRODUCT((A$3:A753=A754)*(C$3:C753="Compra")*F$3:F753)/IF(SUMPRODUCT((A$3:A753=A754)*(C$3:C753="Compra")*D$3:D753)=0,1,SUMPRODUCT((A$3:A753=A754)*(C$3:C753="Compra")*D$3:D753)))*D754,0),"")</f>
        <v/>
      </c>
      <c r="H754" s="12" t="str">
        <f aca="false">IF(C754="Venda",E754*D754,"")</f>
        <v/>
      </c>
    </row>
    <row r="755" customFormat="false" ht="15" hidden="false" customHeight="false" outlineLevel="0" collapsed="false">
      <c r="A755" s="14" t="str">
        <f aca="false">IF(Transações!C755&lt;&gt;"",Transações!C755,"")</f>
        <v/>
      </c>
      <c r="B755" s="14" t="str">
        <f aca="false">IF(Transações!A755&lt;&gt;"",Transações!A755,"")</f>
        <v/>
      </c>
      <c r="C755" s="14" t="str">
        <f aca="false">IF(Transações!B755&lt;&gt;"",Transações!B755,"")</f>
        <v/>
      </c>
      <c r="D755" s="15" t="str">
        <f aca="false">IF(Transações!D755&lt;&gt;"",Transações!D755,"")</f>
        <v/>
      </c>
      <c r="E755" s="16" t="str">
        <f aca="false">IF(Transações!E755&lt;&gt;"",Transações!E755,"")</f>
        <v/>
      </c>
      <c r="F755" s="7" t="str">
        <f aca="false">IF(C755="Compra",D755*E755,IF(C755="Staking",D755*E755,""))</f>
        <v/>
      </c>
      <c r="G755" s="7" t="str">
        <f aca="false">IF(C755="Venda",IF(COUNTIF(A$3:A754,A755)&gt;0,(E755-SUMPRODUCT((A$3:A754=A755)*(C$3:C754="Compra")*F$3:F754)/IF(SUMPRODUCT((A$3:A754=A755)*(C$3:C754="Compra")*D$3:D754)=0,1,SUMPRODUCT((A$3:A754=A755)*(C$3:C754="Compra")*D$3:D754)))*D755,0),"")</f>
        <v/>
      </c>
      <c r="H755" s="7" t="str">
        <f aca="false">IF(C755="Venda",E755*D755,"")</f>
        <v/>
      </c>
    </row>
    <row r="756" customFormat="false" ht="15" hidden="false" customHeight="false" outlineLevel="0" collapsed="false">
      <c r="A756" s="17" t="str">
        <f aca="false">IF(Transações!C756&lt;&gt;"",Transações!C756,"")</f>
        <v/>
      </c>
      <c r="B756" s="17" t="str">
        <f aca="false">IF(Transações!A756&lt;&gt;"",Transações!A756,"")</f>
        <v/>
      </c>
      <c r="C756" s="17" t="str">
        <f aca="false">IF(Transações!B756&lt;&gt;"",Transações!B756,"")</f>
        <v/>
      </c>
      <c r="D756" s="18" t="str">
        <f aca="false">IF(Transações!D756&lt;&gt;"",Transações!D756,"")</f>
        <v/>
      </c>
      <c r="E756" s="19" t="str">
        <f aca="false">IF(Transações!E756&lt;&gt;"",Transações!E756,"")</f>
        <v/>
      </c>
      <c r="F756" s="12" t="str">
        <f aca="false">IF(C756="Compra",D756*E756,IF(C756="Staking",D756*E756,""))</f>
        <v/>
      </c>
      <c r="G756" s="12" t="str">
        <f aca="false">IF(C756="Venda",IF(COUNTIF(A$3:A755,A756)&gt;0,(E756-SUMPRODUCT((A$3:A755=A756)*(C$3:C755="Compra")*F$3:F755)/IF(SUMPRODUCT((A$3:A755=A756)*(C$3:C755="Compra")*D$3:D755)=0,1,SUMPRODUCT((A$3:A755=A756)*(C$3:C755="Compra")*D$3:D755)))*D756,0),"")</f>
        <v/>
      </c>
      <c r="H756" s="12" t="str">
        <f aca="false">IF(C756="Venda",E756*D756,"")</f>
        <v/>
      </c>
    </row>
    <row r="757" customFormat="false" ht="15" hidden="false" customHeight="false" outlineLevel="0" collapsed="false">
      <c r="A757" s="14" t="str">
        <f aca="false">IF(Transações!C757&lt;&gt;"",Transações!C757,"")</f>
        <v/>
      </c>
      <c r="B757" s="14" t="str">
        <f aca="false">IF(Transações!A757&lt;&gt;"",Transações!A757,"")</f>
        <v/>
      </c>
      <c r="C757" s="14" t="str">
        <f aca="false">IF(Transações!B757&lt;&gt;"",Transações!B757,"")</f>
        <v/>
      </c>
      <c r="D757" s="15" t="str">
        <f aca="false">IF(Transações!D757&lt;&gt;"",Transações!D757,"")</f>
        <v/>
      </c>
      <c r="E757" s="16" t="str">
        <f aca="false">IF(Transações!E757&lt;&gt;"",Transações!E757,"")</f>
        <v/>
      </c>
      <c r="F757" s="7" t="str">
        <f aca="false">IF(C757="Compra",D757*E757,IF(C757="Staking",D757*E757,""))</f>
        <v/>
      </c>
      <c r="G757" s="7" t="str">
        <f aca="false">IF(C757="Venda",IF(COUNTIF(A$3:A756,A757)&gt;0,(E757-SUMPRODUCT((A$3:A756=A757)*(C$3:C756="Compra")*F$3:F756)/IF(SUMPRODUCT((A$3:A756=A757)*(C$3:C756="Compra")*D$3:D756)=0,1,SUMPRODUCT((A$3:A756=A757)*(C$3:C756="Compra")*D$3:D756)))*D757,0),"")</f>
        <v/>
      </c>
      <c r="H757" s="7" t="str">
        <f aca="false">IF(C757="Venda",E757*D757,"")</f>
        <v/>
      </c>
    </row>
    <row r="758" customFormat="false" ht="15" hidden="false" customHeight="false" outlineLevel="0" collapsed="false">
      <c r="A758" s="17" t="str">
        <f aca="false">IF(Transações!C758&lt;&gt;"",Transações!C758,"")</f>
        <v/>
      </c>
      <c r="B758" s="17" t="str">
        <f aca="false">IF(Transações!A758&lt;&gt;"",Transações!A758,"")</f>
        <v/>
      </c>
      <c r="C758" s="17" t="str">
        <f aca="false">IF(Transações!B758&lt;&gt;"",Transações!B758,"")</f>
        <v/>
      </c>
      <c r="D758" s="18" t="str">
        <f aca="false">IF(Transações!D758&lt;&gt;"",Transações!D758,"")</f>
        <v/>
      </c>
      <c r="E758" s="19" t="str">
        <f aca="false">IF(Transações!E758&lt;&gt;"",Transações!E758,"")</f>
        <v/>
      </c>
      <c r="F758" s="12" t="str">
        <f aca="false">IF(C758="Compra",D758*E758,IF(C758="Staking",D758*E758,""))</f>
        <v/>
      </c>
      <c r="G758" s="12" t="str">
        <f aca="false">IF(C758="Venda",IF(COUNTIF(A$3:A757,A758)&gt;0,(E758-SUMPRODUCT((A$3:A757=A758)*(C$3:C757="Compra")*F$3:F757)/IF(SUMPRODUCT((A$3:A757=A758)*(C$3:C757="Compra")*D$3:D757)=0,1,SUMPRODUCT((A$3:A757=A758)*(C$3:C757="Compra")*D$3:D757)))*D758,0),"")</f>
        <v/>
      </c>
      <c r="H758" s="12" t="str">
        <f aca="false">IF(C758="Venda",E758*D758,"")</f>
        <v/>
      </c>
    </row>
    <row r="759" customFormat="false" ht="15" hidden="false" customHeight="false" outlineLevel="0" collapsed="false">
      <c r="A759" s="14" t="str">
        <f aca="false">IF(Transações!C759&lt;&gt;"",Transações!C759,"")</f>
        <v/>
      </c>
      <c r="B759" s="14" t="str">
        <f aca="false">IF(Transações!A759&lt;&gt;"",Transações!A759,"")</f>
        <v/>
      </c>
      <c r="C759" s="14" t="str">
        <f aca="false">IF(Transações!B759&lt;&gt;"",Transações!B759,"")</f>
        <v/>
      </c>
      <c r="D759" s="15" t="str">
        <f aca="false">IF(Transações!D759&lt;&gt;"",Transações!D759,"")</f>
        <v/>
      </c>
      <c r="E759" s="16" t="str">
        <f aca="false">IF(Transações!E759&lt;&gt;"",Transações!E759,"")</f>
        <v/>
      </c>
      <c r="F759" s="7" t="str">
        <f aca="false">IF(C759="Compra",D759*E759,IF(C759="Staking",D759*E759,""))</f>
        <v/>
      </c>
      <c r="G759" s="7" t="str">
        <f aca="false">IF(C759="Venda",IF(COUNTIF(A$3:A758,A759)&gt;0,(E759-SUMPRODUCT((A$3:A758=A759)*(C$3:C758="Compra")*F$3:F758)/IF(SUMPRODUCT((A$3:A758=A759)*(C$3:C758="Compra")*D$3:D758)=0,1,SUMPRODUCT((A$3:A758=A759)*(C$3:C758="Compra")*D$3:D758)))*D759,0),"")</f>
        <v/>
      </c>
      <c r="H759" s="7" t="str">
        <f aca="false">IF(C759="Venda",E759*D759,"")</f>
        <v/>
      </c>
    </row>
    <row r="760" customFormat="false" ht="15" hidden="false" customHeight="false" outlineLevel="0" collapsed="false">
      <c r="A760" s="17" t="str">
        <f aca="false">IF(Transações!C760&lt;&gt;"",Transações!C760,"")</f>
        <v/>
      </c>
      <c r="B760" s="17" t="str">
        <f aca="false">IF(Transações!A760&lt;&gt;"",Transações!A760,"")</f>
        <v/>
      </c>
      <c r="C760" s="17" t="str">
        <f aca="false">IF(Transações!B760&lt;&gt;"",Transações!B760,"")</f>
        <v/>
      </c>
      <c r="D760" s="18" t="str">
        <f aca="false">IF(Transações!D760&lt;&gt;"",Transações!D760,"")</f>
        <v/>
      </c>
      <c r="E760" s="19" t="str">
        <f aca="false">IF(Transações!E760&lt;&gt;"",Transações!E760,"")</f>
        <v/>
      </c>
      <c r="F760" s="12" t="str">
        <f aca="false">IF(C760="Compra",D760*E760,IF(C760="Staking",D760*E760,""))</f>
        <v/>
      </c>
      <c r="G760" s="12" t="str">
        <f aca="false">IF(C760="Venda",IF(COUNTIF(A$3:A759,A760)&gt;0,(E760-SUMPRODUCT((A$3:A759=A760)*(C$3:C759="Compra")*F$3:F759)/IF(SUMPRODUCT((A$3:A759=A760)*(C$3:C759="Compra")*D$3:D759)=0,1,SUMPRODUCT((A$3:A759=A760)*(C$3:C759="Compra")*D$3:D759)))*D760,0),"")</f>
        <v/>
      </c>
      <c r="H760" s="12" t="str">
        <f aca="false">IF(C760="Venda",E760*D760,"")</f>
        <v/>
      </c>
    </row>
    <row r="761" customFormat="false" ht="15" hidden="false" customHeight="false" outlineLevel="0" collapsed="false">
      <c r="A761" s="14" t="str">
        <f aca="false">IF(Transações!C761&lt;&gt;"",Transações!C761,"")</f>
        <v/>
      </c>
      <c r="B761" s="14" t="str">
        <f aca="false">IF(Transações!A761&lt;&gt;"",Transações!A761,"")</f>
        <v/>
      </c>
      <c r="C761" s="14" t="str">
        <f aca="false">IF(Transações!B761&lt;&gt;"",Transações!B761,"")</f>
        <v/>
      </c>
      <c r="D761" s="15" t="str">
        <f aca="false">IF(Transações!D761&lt;&gt;"",Transações!D761,"")</f>
        <v/>
      </c>
      <c r="E761" s="16" t="str">
        <f aca="false">IF(Transações!E761&lt;&gt;"",Transações!E761,"")</f>
        <v/>
      </c>
      <c r="F761" s="7" t="str">
        <f aca="false">IF(C761="Compra",D761*E761,IF(C761="Staking",D761*E761,""))</f>
        <v/>
      </c>
      <c r="G761" s="7" t="str">
        <f aca="false">IF(C761="Venda",IF(COUNTIF(A$3:A760,A761)&gt;0,(E761-SUMPRODUCT((A$3:A760=A761)*(C$3:C760="Compra")*F$3:F760)/IF(SUMPRODUCT((A$3:A760=A761)*(C$3:C760="Compra")*D$3:D760)=0,1,SUMPRODUCT((A$3:A760=A761)*(C$3:C760="Compra")*D$3:D760)))*D761,0),"")</f>
        <v/>
      </c>
      <c r="H761" s="7" t="str">
        <f aca="false">IF(C761="Venda",E761*D761,"")</f>
        <v/>
      </c>
    </row>
    <row r="762" customFormat="false" ht="15" hidden="false" customHeight="false" outlineLevel="0" collapsed="false">
      <c r="A762" s="17" t="str">
        <f aca="false">IF(Transações!C762&lt;&gt;"",Transações!C762,"")</f>
        <v/>
      </c>
      <c r="B762" s="17" t="str">
        <f aca="false">IF(Transações!A762&lt;&gt;"",Transações!A762,"")</f>
        <v/>
      </c>
      <c r="C762" s="17" t="str">
        <f aca="false">IF(Transações!B762&lt;&gt;"",Transações!B762,"")</f>
        <v/>
      </c>
      <c r="D762" s="18" t="str">
        <f aca="false">IF(Transações!D762&lt;&gt;"",Transações!D762,"")</f>
        <v/>
      </c>
      <c r="E762" s="19" t="str">
        <f aca="false">IF(Transações!E762&lt;&gt;"",Transações!E762,"")</f>
        <v/>
      </c>
      <c r="F762" s="12" t="str">
        <f aca="false">IF(C762="Compra",D762*E762,IF(C762="Staking",D762*E762,""))</f>
        <v/>
      </c>
      <c r="G762" s="12" t="str">
        <f aca="false">IF(C762="Venda",IF(COUNTIF(A$3:A761,A762)&gt;0,(E762-SUMPRODUCT((A$3:A761=A762)*(C$3:C761="Compra")*F$3:F761)/IF(SUMPRODUCT((A$3:A761=A762)*(C$3:C761="Compra")*D$3:D761)=0,1,SUMPRODUCT((A$3:A761=A762)*(C$3:C761="Compra")*D$3:D761)))*D762,0),"")</f>
        <v/>
      </c>
      <c r="H762" s="12" t="str">
        <f aca="false">IF(C762="Venda",E762*D762,"")</f>
        <v/>
      </c>
    </row>
    <row r="763" customFormat="false" ht="15" hidden="false" customHeight="false" outlineLevel="0" collapsed="false">
      <c r="A763" s="14" t="str">
        <f aca="false">IF(Transações!C763&lt;&gt;"",Transações!C763,"")</f>
        <v/>
      </c>
      <c r="B763" s="14" t="str">
        <f aca="false">IF(Transações!A763&lt;&gt;"",Transações!A763,"")</f>
        <v/>
      </c>
      <c r="C763" s="14" t="str">
        <f aca="false">IF(Transações!B763&lt;&gt;"",Transações!B763,"")</f>
        <v/>
      </c>
      <c r="D763" s="15" t="str">
        <f aca="false">IF(Transações!D763&lt;&gt;"",Transações!D763,"")</f>
        <v/>
      </c>
      <c r="E763" s="16" t="str">
        <f aca="false">IF(Transações!E763&lt;&gt;"",Transações!E763,"")</f>
        <v/>
      </c>
      <c r="F763" s="7" t="str">
        <f aca="false">IF(C763="Compra",D763*E763,IF(C763="Staking",D763*E763,""))</f>
        <v/>
      </c>
      <c r="G763" s="7" t="str">
        <f aca="false">IF(C763="Venda",IF(COUNTIF(A$3:A762,A763)&gt;0,(E763-SUMPRODUCT((A$3:A762=A763)*(C$3:C762="Compra")*F$3:F762)/IF(SUMPRODUCT((A$3:A762=A763)*(C$3:C762="Compra")*D$3:D762)=0,1,SUMPRODUCT((A$3:A762=A763)*(C$3:C762="Compra")*D$3:D762)))*D763,0),"")</f>
        <v/>
      </c>
      <c r="H763" s="7" t="str">
        <f aca="false">IF(C763="Venda",E763*D763,"")</f>
        <v/>
      </c>
    </row>
    <row r="764" customFormat="false" ht="15" hidden="false" customHeight="false" outlineLevel="0" collapsed="false">
      <c r="A764" s="17" t="str">
        <f aca="false">IF(Transações!C764&lt;&gt;"",Transações!C764,"")</f>
        <v/>
      </c>
      <c r="B764" s="17" t="str">
        <f aca="false">IF(Transações!A764&lt;&gt;"",Transações!A764,"")</f>
        <v/>
      </c>
      <c r="C764" s="17" t="str">
        <f aca="false">IF(Transações!B764&lt;&gt;"",Transações!B764,"")</f>
        <v/>
      </c>
      <c r="D764" s="18" t="str">
        <f aca="false">IF(Transações!D764&lt;&gt;"",Transações!D764,"")</f>
        <v/>
      </c>
      <c r="E764" s="19" t="str">
        <f aca="false">IF(Transações!E764&lt;&gt;"",Transações!E764,"")</f>
        <v/>
      </c>
      <c r="F764" s="12" t="str">
        <f aca="false">IF(C764="Compra",D764*E764,IF(C764="Staking",D764*E764,""))</f>
        <v/>
      </c>
      <c r="G764" s="12" t="str">
        <f aca="false">IF(C764="Venda",IF(COUNTIF(A$3:A763,A764)&gt;0,(E764-SUMPRODUCT((A$3:A763=A764)*(C$3:C763="Compra")*F$3:F763)/IF(SUMPRODUCT((A$3:A763=A764)*(C$3:C763="Compra")*D$3:D763)=0,1,SUMPRODUCT((A$3:A763=A764)*(C$3:C763="Compra")*D$3:D763)))*D764,0),"")</f>
        <v/>
      </c>
      <c r="H764" s="12" t="str">
        <f aca="false">IF(C764="Venda",E764*D764,"")</f>
        <v/>
      </c>
    </row>
    <row r="765" customFormat="false" ht="15" hidden="false" customHeight="false" outlineLevel="0" collapsed="false">
      <c r="A765" s="14" t="str">
        <f aca="false">IF(Transações!C765&lt;&gt;"",Transações!C765,"")</f>
        <v/>
      </c>
      <c r="B765" s="14" t="str">
        <f aca="false">IF(Transações!A765&lt;&gt;"",Transações!A765,"")</f>
        <v/>
      </c>
      <c r="C765" s="14" t="str">
        <f aca="false">IF(Transações!B765&lt;&gt;"",Transações!B765,"")</f>
        <v/>
      </c>
      <c r="D765" s="15" t="str">
        <f aca="false">IF(Transações!D765&lt;&gt;"",Transações!D765,"")</f>
        <v/>
      </c>
      <c r="E765" s="16" t="str">
        <f aca="false">IF(Transações!E765&lt;&gt;"",Transações!E765,"")</f>
        <v/>
      </c>
      <c r="F765" s="7" t="str">
        <f aca="false">IF(C765="Compra",D765*E765,IF(C765="Staking",D765*E765,""))</f>
        <v/>
      </c>
      <c r="G765" s="7" t="str">
        <f aca="false">IF(C765="Venda",IF(COUNTIF(A$3:A764,A765)&gt;0,(E765-SUMPRODUCT((A$3:A764=A765)*(C$3:C764="Compra")*F$3:F764)/IF(SUMPRODUCT((A$3:A764=A765)*(C$3:C764="Compra")*D$3:D764)=0,1,SUMPRODUCT((A$3:A764=A765)*(C$3:C764="Compra")*D$3:D764)))*D765,0),"")</f>
        <v/>
      </c>
      <c r="H765" s="7" t="str">
        <f aca="false">IF(C765="Venda",E765*D765,"")</f>
        <v/>
      </c>
    </row>
    <row r="766" customFormat="false" ht="15" hidden="false" customHeight="false" outlineLevel="0" collapsed="false">
      <c r="A766" s="17" t="str">
        <f aca="false">IF(Transações!C766&lt;&gt;"",Transações!C766,"")</f>
        <v/>
      </c>
      <c r="B766" s="17" t="str">
        <f aca="false">IF(Transações!A766&lt;&gt;"",Transações!A766,"")</f>
        <v/>
      </c>
      <c r="C766" s="17" t="str">
        <f aca="false">IF(Transações!B766&lt;&gt;"",Transações!B766,"")</f>
        <v/>
      </c>
      <c r="D766" s="18" t="str">
        <f aca="false">IF(Transações!D766&lt;&gt;"",Transações!D766,"")</f>
        <v/>
      </c>
      <c r="E766" s="19" t="str">
        <f aca="false">IF(Transações!E766&lt;&gt;"",Transações!E766,"")</f>
        <v/>
      </c>
      <c r="F766" s="12" t="str">
        <f aca="false">IF(C766="Compra",D766*E766,IF(C766="Staking",D766*E766,""))</f>
        <v/>
      </c>
      <c r="G766" s="12" t="str">
        <f aca="false">IF(C766="Venda",IF(COUNTIF(A$3:A765,A766)&gt;0,(E766-SUMPRODUCT((A$3:A765=A766)*(C$3:C765="Compra")*F$3:F765)/IF(SUMPRODUCT((A$3:A765=A766)*(C$3:C765="Compra")*D$3:D765)=0,1,SUMPRODUCT((A$3:A765=A766)*(C$3:C765="Compra")*D$3:D765)))*D766,0),"")</f>
        <v/>
      </c>
      <c r="H766" s="12" t="str">
        <f aca="false">IF(C766="Venda",E766*D766,"")</f>
        <v/>
      </c>
    </row>
    <row r="767" customFormat="false" ht="15" hidden="false" customHeight="false" outlineLevel="0" collapsed="false">
      <c r="A767" s="14" t="str">
        <f aca="false">IF(Transações!C767&lt;&gt;"",Transações!C767,"")</f>
        <v/>
      </c>
      <c r="B767" s="14" t="str">
        <f aca="false">IF(Transações!A767&lt;&gt;"",Transações!A767,"")</f>
        <v/>
      </c>
      <c r="C767" s="14" t="str">
        <f aca="false">IF(Transações!B767&lt;&gt;"",Transações!B767,"")</f>
        <v/>
      </c>
      <c r="D767" s="15" t="str">
        <f aca="false">IF(Transações!D767&lt;&gt;"",Transações!D767,"")</f>
        <v/>
      </c>
      <c r="E767" s="16" t="str">
        <f aca="false">IF(Transações!E767&lt;&gt;"",Transações!E767,"")</f>
        <v/>
      </c>
      <c r="F767" s="7" t="str">
        <f aca="false">IF(C767="Compra",D767*E767,IF(C767="Staking",D767*E767,""))</f>
        <v/>
      </c>
      <c r="G767" s="7" t="str">
        <f aca="false">IF(C767="Venda",IF(COUNTIF(A$3:A766,A767)&gt;0,(E767-SUMPRODUCT((A$3:A766=A767)*(C$3:C766="Compra")*F$3:F766)/IF(SUMPRODUCT((A$3:A766=A767)*(C$3:C766="Compra")*D$3:D766)=0,1,SUMPRODUCT((A$3:A766=A767)*(C$3:C766="Compra")*D$3:D766)))*D767,0),"")</f>
        <v/>
      </c>
      <c r="H767" s="7" t="str">
        <f aca="false">IF(C767="Venda",E767*D767,"")</f>
        <v/>
      </c>
    </row>
    <row r="768" customFormat="false" ht="15" hidden="false" customHeight="false" outlineLevel="0" collapsed="false">
      <c r="A768" s="17" t="str">
        <f aca="false">IF(Transações!C768&lt;&gt;"",Transações!C768,"")</f>
        <v/>
      </c>
      <c r="B768" s="17" t="str">
        <f aca="false">IF(Transações!A768&lt;&gt;"",Transações!A768,"")</f>
        <v/>
      </c>
      <c r="C768" s="17" t="str">
        <f aca="false">IF(Transações!B768&lt;&gt;"",Transações!B768,"")</f>
        <v/>
      </c>
      <c r="D768" s="18" t="str">
        <f aca="false">IF(Transações!D768&lt;&gt;"",Transações!D768,"")</f>
        <v/>
      </c>
      <c r="E768" s="19" t="str">
        <f aca="false">IF(Transações!E768&lt;&gt;"",Transações!E768,"")</f>
        <v/>
      </c>
      <c r="F768" s="12" t="str">
        <f aca="false">IF(C768="Compra",D768*E768,IF(C768="Staking",D768*E768,""))</f>
        <v/>
      </c>
      <c r="G768" s="12" t="str">
        <f aca="false">IF(C768="Venda",IF(COUNTIF(A$3:A767,A768)&gt;0,(E768-SUMPRODUCT((A$3:A767=A768)*(C$3:C767="Compra")*F$3:F767)/IF(SUMPRODUCT((A$3:A767=A768)*(C$3:C767="Compra")*D$3:D767)=0,1,SUMPRODUCT((A$3:A767=A768)*(C$3:C767="Compra")*D$3:D767)))*D768,0),"")</f>
        <v/>
      </c>
      <c r="H768" s="12" t="str">
        <f aca="false">IF(C768="Venda",E768*D768,"")</f>
        <v/>
      </c>
    </row>
    <row r="769" customFormat="false" ht="15" hidden="false" customHeight="false" outlineLevel="0" collapsed="false">
      <c r="A769" s="14" t="str">
        <f aca="false">IF(Transações!C769&lt;&gt;"",Transações!C769,"")</f>
        <v/>
      </c>
      <c r="B769" s="14" t="str">
        <f aca="false">IF(Transações!A769&lt;&gt;"",Transações!A769,"")</f>
        <v/>
      </c>
      <c r="C769" s="14" t="str">
        <f aca="false">IF(Transações!B769&lt;&gt;"",Transações!B769,"")</f>
        <v/>
      </c>
      <c r="D769" s="15" t="str">
        <f aca="false">IF(Transações!D769&lt;&gt;"",Transações!D769,"")</f>
        <v/>
      </c>
      <c r="E769" s="16" t="str">
        <f aca="false">IF(Transações!E769&lt;&gt;"",Transações!E769,"")</f>
        <v/>
      </c>
      <c r="F769" s="7" t="str">
        <f aca="false">IF(C769="Compra",D769*E769,IF(C769="Staking",D769*E769,""))</f>
        <v/>
      </c>
      <c r="G769" s="7" t="str">
        <f aca="false">IF(C769="Venda",IF(COUNTIF(A$3:A768,A769)&gt;0,(E769-SUMPRODUCT((A$3:A768=A769)*(C$3:C768="Compra")*F$3:F768)/IF(SUMPRODUCT((A$3:A768=A769)*(C$3:C768="Compra")*D$3:D768)=0,1,SUMPRODUCT((A$3:A768=A769)*(C$3:C768="Compra")*D$3:D768)))*D769,0),"")</f>
        <v/>
      </c>
      <c r="H769" s="7" t="str">
        <f aca="false">IF(C769="Venda",E769*D769,"")</f>
        <v/>
      </c>
    </row>
    <row r="770" customFormat="false" ht="15" hidden="false" customHeight="false" outlineLevel="0" collapsed="false">
      <c r="A770" s="17" t="str">
        <f aca="false">IF(Transações!C770&lt;&gt;"",Transações!C770,"")</f>
        <v/>
      </c>
      <c r="B770" s="17" t="str">
        <f aca="false">IF(Transações!A770&lt;&gt;"",Transações!A770,"")</f>
        <v/>
      </c>
      <c r="C770" s="17" t="str">
        <f aca="false">IF(Transações!B770&lt;&gt;"",Transações!B770,"")</f>
        <v/>
      </c>
      <c r="D770" s="18" t="str">
        <f aca="false">IF(Transações!D770&lt;&gt;"",Transações!D770,"")</f>
        <v/>
      </c>
      <c r="E770" s="19" t="str">
        <f aca="false">IF(Transações!E770&lt;&gt;"",Transações!E770,"")</f>
        <v/>
      </c>
      <c r="F770" s="12" t="str">
        <f aca="false">IF(C770="Compra",D770*E770,IF(C770="Staking",D770*E770,""))</f>
        <v/>
      </c>
      <c r="G770" s="12" t="str">
        <f aca="false">IF(C770="Venda",IF(COUNTIF(A$3:A769,A770)&gt;0,(E770-SUMPRODUCT((A$3:A769=A770)*(C$3:C769="Compra")*F$3:F769)/IF(SUMPRODUCT((A$3:A769=A770)*(C$3:C769="Compra")*D$3:D769)=0,1,SUMPRODUCT((A$3:A769=A770)*(C$3:C769="Compra")*D$3:D769)))*D770,0),"")</f>
        <v/>
      </c>
      <c r="H770" s="12" t="str">
        <f aca="false">IF(C770="Venda",E770*D770,"")</f>
        <v/>
      </c>
    </row>
    <row r="771" customFormat="false" ht="15" hidden="false" customHeight="false" outlineLevel="0" collapsed="false">
      <c r="A771" s="14" t="str">
        <f aca="false">IF(Transações!C771&lt;&gt;"",Transações!C771,"")</f>
        <v/>
      </c>
      <c r="B771" s="14" t="str">
        <f aca="false">IF(Transações!A771&lt;&gt;"",Transações!A771,"")</f>
        <v/>
      </c>
      <c r="C771" s="14" t="str">
        <f aca="false">IF(Transações!B771&lt;&gt;"",Transações!B771,"")</f>
        <v/>
      </c>
      <c r="D771" s="15" t="str">
        <f aca="false">IF(Transações!D771&lt;&gt;"",Transações!D771,"")</f>
        <v/>
      </c>
      <c r="E771" s="16" t="str">
        <f aca="false">IF(Transações!E771&lt;&gt;"",Transações!E771,"")</f>
        <v/>
      </c>
      <c r="F771" s="7" t="str">
        <f aca="false">IF(C771="Compra",D771*E771,IF(C771="Staking",D771*E771,""))</f>
        <v/>
      </c>
      <c r="G771" s="7" t="str">
        <f aca="false">IF(C771="Venda",IF(COUNTIF(A$3:A770,A771)&gt;0,(E771-SUMPRODUCT((A$3:A770=A771)*(C$3:C770="Compra")*F$3:F770)/IF(SUMPRODUCT((A$3:A770=A771)*(C$3:C770="Compra")*D$3:D770)=0,1,SUMPRODUCT((A$3:A770=A771)*(C$3:C770="Compra")*D$3:D770)))*D771,0),"")</f>
        <v/>
      </c>
      <c r="H771" s="7" t="str">
        <f aca="false">IF(C771="Venda",E771*D771,"")</f>
        <v/>
      </c>
    </row>
    <row r="772" customFormat="false" ht="15" hidden="false" customHeight="false" outlineLevel="0" collapsed="false">
      <c r="A772" s="17" t="str">
        <f aca="false">IF(Transações!C772&lt;&gt;"",Transações!C772,"")</f>
        <v/>
      </c>
      <c r="B772" s="17" t="str">
        <f aca="false">IF(Transações!A772&lt;&gt;"",Transações!A772,"")</f>
        <v/>
      </c>
      <c r="C772" s="17" t="str">
        <f aca="false">IF(Transações!B772&lt;&gt;"",Transações!B772,"")</f>
        <v/>
      </c>
      <c r="D772" s="18" t="str">
        <f aca="false">IF(Transações!D772&lt;&gt;"",Transações!D772,"")</f>
        <v/>
      </c>
      <c r="E772" s="19" t="str">
        <f aca="false">IF(Transações!E772&lt;&gt;"",Transações!E772,"")</f>
        <v/>
      </c>
      <c r="F772" s="12" t="str">
        <f aca="false">IF(C772="Compra",D772*E772,IF(C772="Staking",D772*E772,""))</f>
        <v/>
      </c>
      <c r="G772" s="12" t="str">
        <f aca="false">IF(C772="Venda",IF(COUNTIF(A$3:A771,A772)&gt;0,(E772-SUMPRODUCT((A$3:A771=A772)*(C$3:C771="Compra")*F$3:F771)/IF(SUMPRODUCT((A$3:A771=A772)*(C$3:C771="Compra")*D$3:D771)=0,1,SUMPRODUCT((A$3:A771=A772)*(C$3:C771="Compra")*D$3:D771)))*D772,0),"")</f>
        <v/>
      </c>
      <c r="H772" s="12" t="str">
        <f aca="false">IF(C772="Venda",E772*D772,"")</f>
        <v/>
      </c>
    </row>
    <row r="773" customFormat="false" ht="15" hidden="false" customHeight="false" outlineLevel="0" collapsed="false">
      <c r="A773" s="14" t="str">
        <f aca="false">IF(Transações!C773&lt;&gt;"",Transações!C773,"")</f>
        <v/>
      </c>
      <c r="B773" s="14" t="str">
        <f aca="false">IF(Transações!A773&lt;&gt;"",Transações!A773,"")</f>
        <v/>
      </c>
      <c r="C773" s="14" t="str">
        <f aca="false">IF(Transações!B773&lt;&gt;"",Transações!B773,"")</f>
        <v/>
      </c>
      <c r="D773" s="15" t="str">
        <f aca="false">IF(Transações!D773&lt;&gt;"",Transações!D773,"")</f>
        <v/>
      </c>
      <c r="E773" s="16" t="str">
        <f aca="false">IF(Transações!E773&lt;&gt;"",Transações!E773,"")</f>
        <v/>
      </c>
      <c r="F773" s="7" t="str">
        <f aca="false">IF(C773="Compra",D773*E773,IF(C773="Staking",D773*E773,""))</f>
        <v/>
      </c>
      <c r="G773" s="7" t="str">
        <f aca="false">IF(C773="Venda",IF(COUNTIF(A$3:A772,A773)&gt;0,(E773-SUMPRODUCT((A$3:A772=A773)*(C$3:C772="Compra")*F$3:F772)/IF(SUMPRODUCT((A$3:A772=A773)*(C$3:C772="Compra")*D$3:D772)=0,1,SUMPRODUCT((A$3:A772=A773)*(C$3:C772="Compra")*D$3:D772)))*D773,0),"")</f>
        <v/>
      </c>
      <c r="H773" s="7" t="str">
        <f aca="false">IF(C773="Venda",E773*D773,"")</f>
        <v/>
      </c>
    </row>
    <row r="774" customFormat="false" ht="15" hidden="false" customHeight="false" outlineLevel="0" collapsed="false">
      <c r="A774" s="17" t="str">
        <f aca="false">IF(Transações!C774&lt;&gt;"",Transações!C774,"")</f>
        <v/>
      </c>
      <c r="B774" s="17" t="str">
        <f aca="false">IF(Transações!A774&lt;&gt;"",Transações!A774,"")</f>
        <v/>
      </c>
      <c r="C774" s="17" t="str">
        <f aca="false">IF(Transações!B774&lt;&gt;"",Transações!B774,"")</f>
        <v/>
      </c>
      <c r="D774" s="18" t="str">
        <f aca="false">IF(Transações!D774&lt;&gt;"",Transações!D774,"")</f>
        <v/>
      </c>
      <c r="E774" s="19" t="str">
        <f aca="false">IF(Transações!E774&lt;&gt;"",Transações!E774,"")</f>
        <v/>
      </c>
      <c r="F774" s="12" t="str">
        <f aca="false">IF(C774="Compra",D774*E774,IF(C774="Staking",D774*E774,""))</f>
        <v/>
      </c>
      <c r="G774" s="12" t="str">
        <f aca="false">IF(C774="Venda",IF(COUNTIF(A$3:A773,A774)&gt;0,(E774-SUMPRODUCT((A$3:A773=A774)*(C$3:C773="Compra")*F$3:F773)/IF(SUMPRODUCT((A$3:A773=A774)*(C$3:C773="Compra")*D$3:D773)=0,1,SUMPRODUCT((A$3:A773=A774)*(C$3:C773="Compra")*D$3:D773)))*D774,0),"")</f>
        <v/>
      </c>
      <c r="H774" s="12" t="str">
        <f aca="false">IF(C774="Venda",E774*D774,"")</f>
        <v/>
      </c>
    </row>
    <row r="775" customFormat="false" ht="15" hidden="false" customHeight="false" outlineLevel="0" collapsed="false">
      <c r="A775" s="14" t="str">
        <f aca="false">IF(Transações!C775&lt;&gt;"",Transações!C775,"")</f>
        <v/>
      </c>
      <c r="B775" s="14" t="str">
        <f aca="false">IF(Transações!A775&lt;&gt;"",Transações!A775,"")</f>
        <v/>
      </c>
      <c r="C775" s="14" t="str">
        <f aca="false">IF(Transações!B775&lt;&gt;"",Transações!B775,"")</f>
        <v/>
      </c>
      <c r="D775" s="15" t="str">
        <f aca="false">IF(Transações!D775&lt;&gt;"",Transações!D775,"")</f>
        <v/>
      </c>
      <c r="E775" s="16" t="str">
        <f aca="false">IF(Transações!E775&lt;&gt;"",Transações!E775,"")</f>
        <v/>
      </c>
      <c r="F775" s="7" t="str">
        <f aca="false">IF(C775="Compra",D775*E775,IF(C775="Staking",D775*E775,""))</f>
        <v/>
      </c>
      <c r="G775" s="7" t="str">
        <f aca="false">IF(C775="Venda",IF(COUNTIF(A$3:A774,A775)&gt;0,(E775-SUMPRODUCT((A$3:A774=A775)*(C$3:C774="Compra")*F$3:F774)/IF(SUMPRODUCT((A$3:A774=A775)*(C$3:C774="Compra")*D$3:D774)=0,1,SUMPRODUCT((A$3:A774=A775)*(C$3:C774="Compra")*D$3:D774)))*D775,0),"")</f>
        <v/>
      </c>
      <c r="H775" s="7" t="str">
        <f aca="false">IF(C775="Venda",E775*D775,"")</f>
        <v/>
      </c>
    </row>
    <row r="776" customFormat="false" ht="15" hidden="false" customHeight="false" outlineLevel="0" collapsed="false">
      <c r="A776" s="17" t="str">
        <f aca="false">IF(Transações!C776&lt;&gt;"",Transações!C776,"")</f>
        <v/>
      </c>
      <c r="B776" s="17" t="str">
        <f aca="false">IF(Transações!A776&lt;&gt;"",Transações!A776,"")</f>
        <v/>
      </c>
      <c r="C776" s="17" t="str">
        <f aca="false">IF(Transações!B776&lt;&gt;"",Transações!B776,"")</f>
        <v/>
      </c>
      <c r="D776" s="18" t="str">
        <f aca="false">IF(Transações!D776&lt;&gt;"",Transações!D776,"")</f>
        <v/>
      </c>
      <c r="E776" s="19" t="str">
        <f aca="false">IF(Transações!E776&lt;&gt;"",Transações!E776,"")</f>
        <v/>
      </c>
      <c r="F776" s="12" t="str">
        <f aca="false">IF(C776="Compra",D776*E776,IF(C776="Staking",D776*E776,""))</f>
        <v/>
      </c>
      <c r="G776" s="12" t="str">
        <f aca="false">IF(C776="Venda",IF(COUNTIF(A$3:A775,A776)&gt;0,(E776-SUMPRODUCT((A$3:A775=A776)*(C$3:C775="Compra")*F$3:F775)/IF(SUMPRODUCT((A$3:A775=A776)*(C$3:C775="Compra")*D$3:D775)=0,1,SUMPRODUCT((A$3:A775=A776)*(C$3:C775="Compra")*D$3:D775)))*D776,0),"")</f>
        <v/>
      </c>
      <c r="H776" s="12" t="str">
        <f aca="false">IF(C776="Venda",E776*D776,"")</f>
        <v/>
      </c>
    </row>
    <row r="777" customFormat="false" ht="15" hidden="false" customHeight="false" outlineLevel="0" collapsed="false">
      <c r="A777" s="14" t="str">
        <f aca="false">IF(Transações!C777&lt;&gt;"",Transações!C777,"")</f>
        <v/>
      </c>
      <c r="B777" s="14" t="str">
        <f aca="false">IF(Transações!A777&lt;&gt;"",Transações!A777,"")</f>
        <v/>
      </c>
      <c r="C777" s="14" t="str">
        <f aca="false">IF(Transações!B777&lt;&gt;"",Transações!B777,"")</f>
        <v/>
      </c>
      <c r="D777" s="15" t="str">
        <f aca="false">IF(Transações!D777&lt;&gt;"",Transações!D777,"")</f>
        <v/>
      </c>
      <c r="E777" s="16" t="str">
        <f aca="false">IF(Transações!E777&lt;&gt;"",Transações!E777,"")</f>
        <v/>
      </c>
      <c r="F777" s="7" t="str">
        <f aca="false">IF(C777="Compra",D777*E777,IF(C777="Staking",D777*E777,""))</f>
        <v/>
      </c>
      <c r="G777" s="7" t="str">
        <f aca="false">IF(C777="Venda",IF(COUNTIF(A$3:A776,A777)&gt;0,(E777-SUMPRODUCT((A$3:A776=A777)*(C$3:C776="Compra")*F$3:F776)/IF(SUMPRODUCT((A$3:A776=A777)*(C$3:C776="Compra")*D$3:D776)=0,1,SUMPRODUCT((A$3:A776=A777)*(C$3:C776="Compra")*D$3:D776)))*D777,0),"")</f>
        <v/>
      </c>
      <c r="H777" s="7" t="str">
        <f aca="false">IF(C777="Venda",E777*D777,"")</f>
        <v/>
      </c>
    </row>
    <row r="778" customFormat="false" ht="15" hidden="false" customHeight="false" outlineLevel="0" collapsed="false">
      <c r="A778" s="17" t="str">
        <f aca="false">IF(Transações!C778&lt;&gt;"",Transações!C778,"")</f>
        <v/>
      </c>
      <c r="B778" s="17" t="str">
        <f aca="false">IF(Transações!A778&lt;&gt;"",Transações!A778,"")</f>
        <v/>
      </c>
      <c r="C778" s="17" t="str">
        <f aca="false">IF(Transações!B778&lt;&gt;"",Transações!B778,"")</f>
        <v/>
      </c>
      <c r="D778" s="18" t="str">
        <f aca="false">IF(Transações!D778&lt;&gt;"",Transações!D778,"")</f>
        <v/>
      </c>
      <c r="E778" s="19" t="str">
        <f aca="false">IF(Transações!E778&lt;&gt;"",Transações!E778,"")</f>
        <v/>
      </c>
      <c r="F778" s="12" t="str">
        <f aca="false">IF(C778="Compra",D778*E778,IF(C778="Staking",D778*E778,""))</f>
        <v/>
      </c>
      <c r="G778" s="12" t="str">
        <f aca="false">IF(C778="Venda",IF(COUNTIF(A$3:A777,A778)&gt;0,(E778-SUMPRODUCT((A$3:A777=A778)*(C$3:C777="Compra")*F$3:F777)/IF(SUMPRODUCT((A$3:A777=A778)*(C$3:C777="Compra")*D$3:D777)=0,1,SUMPRODUCT((A$3:A777=A778)*(C$3:C777="Compra")*D$3:D777)))*D778,0),"")</f>
        <v/>
      </c>
      <c r="H778" s="12" t="str">
        <f aca="false">IF(C778="Venda",E778*D778,"")</f>
        <v/>
      </c>
    </row>
    <row r="779" customFormat="false" ht="15" hidden="false" customHeight="false" outlineLevel="0" collapsed="false">
      <c r="A779" s="14" t="str">
        <f aca="false">IF(Transações!C779&lt;&gt;"",Transações!C779,"")</f>
        <v/>
      </c>
      <c r="B779" s="14" t="str">
        <f aca="false">IF(Transações!A779&lt;&gt;"",Transações!A779,"")</f>
        <v/>
      </c>
      <c r="C779" s="14" t="str">
        <f aca="false">IF(Transações!B779&lt;&gt;"",Transações!B779,"")</f>
        <v/>
      </c>
      <c r="D779" s="15" t="str">
        <f aca="false">IF(Transações!D779&lt;&gt;"",Transações!D779,"")</f>
        <v/>
      </c>
      <c r="E779" s="16" t="str">
        <f aca="false">IF(Transações!E779&lt;&gt;"",Transações!E779,"")</f>
        <v/>
      </c>
      <c r="F779" s="7" t="str">
        <f aca="false">IF(C779="Compra",D779*E779,IF(C779="Staking",D779*E779,""))</f>
        <v/>
      </c>
      <c r="G779" s="7" t="str">
        <f aca="false">IF(C779="Venda",IF(COUNTIF(A$3:A778,A779)&gt;0,(E779-SUMPRODUCT((A$3:A778=A779)*(C$3:C778="Compra")*F$3:F778)/IF(SUMPRODUCT((A$3:A778=A779)*(C$3:C778="Compra")*D$3:D778)=0,1,SUMPRODUCT((A$3:A778=A779)*(C$3:C778="Compra")*D$3:D778)))*D779,0),"")</f>
        <v/>
      </c>
      <c r="H779" s="7" t="str">
        <f aca="false">IF(C779="Venda",E779*D779,"")</f>
        <v/>
      </c>
    </row>
    <row r="780" customFormat="false" ht="15" hidden="false" customHeight="false" outlineLevel="0" collapsed="false">
      <c r="A780" s="17" t="str">
        <f aca="false">IF(Transações!C780&lt;&gt;"",Transações!C780,"")</f>
        <v/>
      </c>
      <c r="B780" s="17" t="str">
        <f aca="false">IF(Transações!A780&lt;&gt;"",Transações!A780,"")</f>
        <v/>
      </c>
      <c r="C780" s="17" t="str">
        <f aca="false">IF(Transações!B780&lt;&gt;"",Transações!B780,"")</f>
        <v/>
      </c>
      <c r="D780" s="18" t="str">
        <f aca="false">IF(Transações!D780&lt;&gt;"",Transações!D780,"")</f>
        <v/>
      </c>
      <c r="E780" s="19" t="str">
        <f aca="false">IF(Transações!E780&lt;&gt;"",Transações!E780,"")</f>
        <v/>
      </c>
      <c r="F780" s="12" t="str">
        <f aca="false">IF(C780="Compra",D780*E780,IF(C780="Staking",D780*E780,""))</f>
        <v/>
      </c>
      <c r="G780" s="12" t="str">
        <f aca="false">IF(C780="Venda",IF(COUNTIF(A$3:A779,A780)&gt;0,(E780-SUMPRODUCT((A$3:A779=A780)*(C$3:C779="Compra")*F$3:F779)/IF(SUMPRODUCT((A$3:A779=A780)*(C$3:C779="Compra")*D$3:D779)=0,1,SUMPRODUCT((A$3:A779=A780)*(C$3:C779="Compra")*D$3:D779)))*D780,0),"")</f>
        <v/>
      </c>
      <c r="H780" s="12" t="str">
        <f aca="false">IF(C780="Venda",E780*D780,"")</f>
        <v/>
      </c>
    </row>
    <row r="781" customFormat="false" ht="15" hidden="false" customHeight="false" outlineLevel="0" collapsed="false">
      <c r="A781" s="14" t="str">
        <f aca="false">IF(Transações!C781&lt;&gt;"",Transações!C781,"")</f>
        <v/>
      </c>
      <c r="B781" s="14" t="str">
        <f aca="false">IF(Transações!A781&lt;&gt;"",Transações!A781,"")</f>
        <v/>
      </c>
      <c r="C781" s="14" t="str">
        <f aca="false">IF(Transações!B781&lt;&gt;"",Transações!B781,"")</f>
        <v/>
      </c>
      <c r="D781" s="15" t="str">
        <f aca="false">IF(Transações!D781&lt;&gt;"",Transações!D781,"")</f>
        <v/>
      </c>
      <c r="E781" s="16" t="str">
        <f aca="false">IF(Transações!E781&lt;&gt;"",Transações!E781,"")</f>
        <v/>
      </c>
      <c r="F781" s="7" t="str">
        <f aca="false">IF(C781="Compra",D781*E781,IF(C781="Staking",D781*E781,""))</f>
        <v/>
      </c>
      <c r="G781" s="7" t="str">
        <f aca="false">IF(C781="Venda",IF(COUNTIF(A$3:A780,A781)&gt;0,(E781-SUMPRODUCT((A$3:A780=A781)*(C$3:C780="Compra")*F$3:F780)/IF(SUMPRODUCT((A$3:A780=A781)*(C$3:C780="Compra")*D$3:D780)=0,1,SUMPRODUCT((A$3:A780=A781)*(C$3:C780="Compra")*D$3:D780)))*D781,0),"")</f>
        <v/>
      </c>
      <c r="H781" s="7" t="str">
        <f aca="false">IF(C781="Venda",E781*D781,"")</f>
        <v/>
      </c>
    </row>
    <row r="782" customFormat="false" ht="15" hidden="false" customHeight="false" outlineLevel="0" collapsed="false">
      <c r="A782" s="17" t="str">
        <f aca="false">IF(Transações!C782&lt;&gt;"",Transações!C782,"")</f>
        <v/>
      </c>
      <c r="B782" s="17" t="str">
        <f aca="false">IF(Transações!A782&lt;&gt;"",Transações!A782,"")</f>
        <v/>
      </c>
      <c r="C782" s="17" t="str">
        <f aca="false">IF(Transações!B782&lt;&gt;"",Transações!B782,"")</f>
        <v/>
      </c>
      <c r="D782" s="18" t="str">
        <f aca="false">IF(Transações!D782&lt;&gt;"",Transações!D782,"")</f>
        <v/>
      </c>
      <c r="E782" s="19" t="str">
        <f aca="false">IF(Transações!E782&lt;&gt;"",Transações!E782,"")</f>
        <v/>
      </c>
      <c r="F782" s="12" t="str">
        <f aca="false">IF(C782="Compra",D782*E782,IF(C782="Staking",D782*E782,""))</f>
        <v/>
      </c>
      <c r="G782" s="12" t="str">
        <f aca="false">IF(C782="Venda",IF(COUNTIF(A$3:A781,A782)&gt;0,(E782-SUMPRODUCT((A$3:A781=A782)*(C$3:C781="Compra")*F$3:F781)/IF(SUMPRODUCT((A$3:A781=A782)*(C$3:C781="Compra")*D$3:D781)=0,1,SUMPRODUCT((A$3:A781=A782)*(C$3:C781="Compra")*D$3:D781)))*D782,0),"")</f>
        <v/>
      </c>
      <c r="H782" s="12" t="str">
        <f aca="false">IF(C782="Venda",E782*D782,"")</f>
        <v/>
      </c>
    </row>
    <row r="783" customFormat="false" ht="15" hidden="false" customHeight="false" outlineLevel="0" collapsed="false">
      <c r="A783" s="14" t="str">
        <f aca="false">IF(Transações!C783&lt;&gt;"",Transações!C783,"")</f>
        <v/>
      </c>
      <c r="B783" s="14" t="str">
        <f aca="false">IF(Transações!A783&lt;&gt;"",Transações!A783,"")</f>
        <v/>
      </c>
      <c r="C783" s="14" t="str">
        <f aca="false">IF(Transações!B783&lt;&gt;"",Transações!B783,"")</f>
        <v/>
      </c>
      <c r="D783" s="15" t="str">
        <f aca="false">IF(Transações!D783&lt;&gt;"",Transações!D783,"")</f>
        <v/>
      </c>
      <c r="E783" s="16" t="str">
        <f aca="false">IF(Transações!E783&lt;&gt;"",Transações!E783,"")</f>
        <v/>
      </c>
      <c r="F783" s="7" t="str">
        <f aca="false">IF(C783="Compra",D783*E783,IF(C783="Staking",D783*E783,""))</f>
        <v/>
      </c>
      <c r="G783" s="7" t="str">
        <f aca="false">IF(C783="Venda",IF(COUNTIF(A$3:A782,A783)&gt;0,(E783-SUMPRODUCT((A$3:A782=A783)*(C$3:C782="Compra")*F$3:F782)/IF(SUMPRODUCT((A$3:A782=A783)*(C$3:C782="Compra")*D$3:D782)=0,1,SUMPRODUCT((A$3:A782=A783)*(C$3:C782="Compra")*D$3:D782)))*D783,0),"")</f>
        <v/>
      </c>
      <c r="H783" s="7" t="str">
        <f aca="false">IF(C783="Venda",E783*D783,"")</f>
        <v/>
      </c>
    </row>
    <row r="784" customFormat="false" ht="15" hidden="false" customHeight="false" outlineLevel="0" collapsed="false">
      <c r="A784" s="17" t="str">
        <f aca="false">IF(Transações!C784&lt;&gt;"",Transações!C784,"")</f>
        <v/>
      </c>
      <c r="B784" s="17" t="str">
        <f aca="false">IF(Transações!A784&lt;&gt;"",Transações!A784,"")</f>
        <v/>
      </c>
      <c r="C784" s="17" t="str">
        <f aca="false">IF(Transações!B784&lt;&gt;"",Transações!B784,"")</f>
        <v/>
      </c>
      <c r="D784" s="18" t="str">
        <f aca="false">IF(Transações!D784&lt;&gt;"",Transações!D784,"")</f>
        <v/>
      </c>
      <c r="E784" s="19" t="str">
        <f aca="false">IF(Transações!E784&lt;&gt;"",Transações!E784,"")</f>
        <v/>
      </c>
      <c r="F784" s="12" t="str">
        <f aca="false">IF(C784="Compra",D784*E784,IF(C784="Staking",D784*E784,""))</f>
        <v/>
      </c>
      <c r="G784" s="12" t="str">
        <f aca="false">IF(C784="Venda",IF(COUNTIF(A$3:A783,A784)&gt;0,(E784-SUMPRODUCT((A$3:A783=A784)*(C$3:C783="Compra")*F$3:F783)/IF(SUMPRODUCT((A$3:A783=A784)*(C$3:C783="Compra")*D$3:D783)=0,1,SUMPRODUCT((A$3:A783=A784)*(C$3:C783="Compra")*D$3:D783)))*D784,0),"")</f>
        <v/>
      </c>
      <c r="H784" s="12" t="str">
        <f aca="false">IF(C784="Venda",E784*D784,"")</f>
        <v/>
      </c>
    </row>
    <row r="785" customFormat="false" ht="15" hidden="false" customHeight="false" outlineLevel="0" collapsed="false">
      <c r="A785" s="14" t="str">
        <f aca="false">IF(Transações!C785&lt;&gt;"",Transações!C785,"")</f>
        <v/>
      </c>
      <c r="B785" s="14" t="str">
        <f aca="false">IF(Transações!A785&lt;&gt;"",Transações!A785,"")</f>
        <v/>
      </c>
      <c r="C785" s="14" t="str">
        <f aca="false">IF(Transações!B785&lt;&gt;"",Transações!B785,"")</f>
        <v/>
      </c>
      <c r="D785" s="15" t="str">
        <f aca="false">IF(Transações!D785&lt;&gt;"",Transações!D785,"")</f>
        <v/>
      </c>
      <c r="E785" s="16" t="str">
        <f aca="false">IF(Transações!E785&lt;&gt;"",Transações!E785,"")</f>
        <v/>
      </c>
      <c r="F785" s="7" t="str">
        <f aca="false">IF(C785="Compra",D785*E785,IF(C785="Staking",D785*E785,""))</f>
        <v/>
      </c>
      <c r="G785" s="7" t="str">
        <f aca="false">IF(C785="Venda",IF(COUNTIF(A$3:A784,A785)&gt;0,(E785-SUMPRODUCT((A$3:A784=A785)*(C$3:C784="Compra")*F$3:F784)/IF(SUMPRODUCT((A$3:A784=A785)*(C$3:C784="Compra")*D$3:D784)=0,1,SUMPRODUCT((A$3:A784=A785)*(C$3:C784="Compra")*D$3:D784)))*D785,0),"")</f>
        <v/>
      </c>
      <c r="H785" s="7" t="str">
        <f aca="false">IF(C785="Venda",E785*D785,"")</f>
        <v/>
      </c>
    </row>
    <row r="786" customFormat="false" ht="15" hidden="false" customHeight="false" outlineLevel="0" collapsed="false">
      <c r="A786" s="17" t="str">
        <f aca="false">IF(Transações!C786&lt;&gt;"",Transações!C786,"")</f>
        <v/>
      </c>
      <c r="B786" s="17" t="str">
        <f aca="false">IF(Transações!A786&lt;&gt;"",Transações!A786,"")</f>
        <v/>
      </c>
      <c r="C786" s="17" t="str">
        <f aca="false">IF(Transações!B786&lt;&gt;"",Transações!B786,"")</f>
        <v/>
      </c>
      <c r="D786" s="18" t="str">
        <f aca="false">IF(Transações!D786&lt;&gt;"",Transações!D786,"")</f>
        <v/>
      </c>
      <c r="E786" s="19" t="str">
        <f aca="false">IF(Transações!E786&lt;&gt;"",Transações!E786,"")</f>
        <v/>
      </c>
      <c r="F786" s="12" t="str">
        <f aca="false">IF(C786="Compra",D786*E786,IF(C786="Staking",D786*E786,""))</f>
        <v/>
      </c>
      <c r="G786" s="12" t="str">
        <f aca="false">IF(C786="Venda",IF(COUNTIF(A$3:A785,A786)&gt;0,(E786-SUMPRODUCT((A$3:A785=A786)*(C$3:C785="Compra")*F$3:F785)/IF(SUMPRODUCT((A$3:A785=A786)*(C$3:C785="Compra")*D$3:D785)=0,1,SUMPRODUCT((A$3:A785=A786)*(C$3:C785="Compra")*D$3:D785)))*D786,0),"")</f>
        <v/>
      </c>
      <c r="H786" s="12" t="str">
        <f aca="false">IF(C786="Venda",E786*D786,"")</f>
        <v/>
      </c>
    </row>
    <row r="787" customFormat="false" ht="15" hidden="false" customHeight="false" outlineLevel="0" collapsed="false">
      <c r="A787" s="14" t="str">
        <f aca="false">IF(Transações!C787&lt;&gt;"",Transações!C787,"")</f>
        <v/>
      </c>
      <c r="B787" s="14" t="str">
        <f aca="false">IF(Transações!A787&lt;&gt;"",Transações!A787,"")</f>
        <v/>
      </c>
      <c r="C787" s="14" t="str">
        <f aca="false">IF(Transações!B787&lt;&gt;"",Transações!B787,"")</f>
        <v/>
      </c>
      <c r="D787" s="15" t="str">
        <f aca="false">IF(Transações!D787&lt;&gt;"",Transações!D787,"")</f>
        <v/>
      </c>
      <c r="E787" s="16" t="str">
        <f aca="false">IF(Transações!E787&lt;&gt;"",Transações!E787,"")</f>
        <v/>
      </c>
      <c r="F787" s="7" t="str">
        <f aca="false">IF(C787="Compra",D787*E787,IF(C787="Staking",D787*E787,""))</f>
        <v/>
      </c>
      <c r="G787" s="7" t="str">
        <f aca="false">IF(C787="Venda",IF(COUNTIF(A$3:A786,A787)&gt;0,(E787-SUMPRODUCT((A$3:A786=A787)*(C$3:C786="Compra")*F$3:F786)/IF(SUMPRODUCT((A$3:A786=A787)*(C$3:C786="Compra")*D$3:D786)=0,1,SUMPRODUCT((A$3:A786=A787)*(C$3:C786="Compra")*D$3:D786)))*D787,0),"")</f>
        <v/>
      </c>
      <c r="H787" s="7" t="str">
        <f aca="false">IF(C787="Venda",E787*D787,"")</f>
        <v/>
      </c>
    </row>
    <row r="788" customFormat="false" ht="15" hidden="false" customHeight="false" outlineLevel="0" collapsed="false">
      <c r="A788" s="17" t="str">
        <f aca="false">IF(Transações!C788&lt;&gt;"",Transações!C788,"")</f>
        <v/>
      </c>
      <c r="B788" s="17" t="str">
        <f aca="false">IF(Transações!A788&lt;&gt;"",Transações!A788,"")</f>
        <v/>
      </c>
      <c r="C788" s="17" t="str">
        <f aca="false">IF(Transações!B788&lt;&gt;"",Transações!B788,"")</f>
        <v/>
      </c>
      <c r="D788" s="18" t="str">
        <f aca="false">IF(Transações!D788&lt;&gt;"",Transações!D788,"")</f>
        <v/>
      </c>
      <c r="E788" s="19" t="str">
        <f aca="false">IF(Transações!E788&lt;&gt;"",Transações!E788,"")</f>
        <v/>
      </c>
      <c r="F788" s="12" t="str">
        <f aca="false">IF(C788="Compra",D788*E788,IF(C788="Staking",D788*E788,""))</f>
        <v/>
      </c>
      <c r="G788" s="12" t="str">
        <f aca="false">IF(C788="Venda",IF(COUNTIF(A$3:A787,A788)&gt;0,(E788-SUMPRODUCT((A$3:A787=A788)*(C$3:C787="Compra")*F$3:F787)/IF(SUMPRODUCT((A$3:A787=A788)*(C$3:C787="Compra")*D$3:D787)=0,1,SUMPRODUCT((A$3:A787=A788)*(C$3:C787="Compra")*D$3:D787)))*D788,0),"")</f>
        <v/>
      </c>
      <c r="H788" s="12" t="str">
        <f aca="false">IF(C788="Venda",E788*D788,"")</f>
        <v/>
      </c>
    </row>
    <row r="789" customFormat="false" ht="15" hidden="false" customHeight="false" outlineLevel="0" collapsed="false">
      <c r="A789" s="14" t="str">
        <f aca="false">IF(Transações!C789&lt;&gt;"",Transações!C789,"")</f>
        <v/>
      </c>
      <c r="B789" s="14" t="str">
        <f aca="false">IF(Transações!A789&lt;&gt;"",Transações!A789,"")</f>
        <v/>
      </c>
      <c r="C789" s="14" t="str">
        <f aca="false">IF(Transações!B789&lt;&gt;"",Transações!B789,"")</f>
        <v/>
      </c>
      <c r="D789" s="15" t="str">
        <f aca="false">IF(Transações!D789&lt;&gt;"",Transações!D789,"")</f>
        <v/>
      </c>
      <c r="E789" s="16" t="str">
        <f aca="false">IF(Transações!E789&lt;&gt;"",Transações!E789,"")</f>
        <v/>
      </c>
      <c r="F789" s="7" t="str">
        <f aca="false">IF(C789="Compra",D789*E789,IF(C789="Staking",D789*E789,""))</f>
        <v/>
      </c>
      <c r="G789" s="7" t="str">
        <f aca="false">IF(C789="Venda",IF(COUNTIF(A$3:A788,A789)&gt;0,(E789-SUMPRODUCT((A$3:A788=A789)*(C$3:C788="Compra")*F$3:F788)/IF(SUMPRODUCT((A$3:A788=A789)*(C$3:C788="Compra")*D$3:D788)=0,1,SUMPRODUCT((A$3:A788=A789)*(C$3:C788="Compra")*D$3:D788)))*D789,0),"")</f>
        <v/>
      </c>
      <c r="H789" s="7" t="str">
        <f aca="false">IF(C789="Venda",E789*D789,"")</f>
        <v/>
      </c>
    </row>
    <row r="790" customFormat="false" ht="15" hidden="false" customHeight="false" outlineLevel="0" collapsed="false">
      <c r="A790" s="17" t="str">
        <f aca="false">IF(Transações!C790&lt;&gt;"",Transações!C790,"")</f>
        <v/>
      </c>
      <c r="B790" s="17" t="str">
        <f aca="false">IF(Transações!A790&lt;&gt;"",Transações!A790,"")</f>
        <v/>
      </c>
      <c r="C790" s="17" t="str">
        <f aca="false">IF(Transações!B790&lt;&gt;"",Transações!B790,"")</f>
        <v/>
      </c>
      <c r="D790" s="18" t="str">
        <f aca="false">IF(Transações!D790&lt;&gt;"",Transações!D790,"")</f>
        <v/>
      </c>
      <c r="E790" s="19" t="str">
        <f aca="false">IF(Transações!E790&lt;&gt;"",Transações!E790,"")</f>
        <v/>
      </c>
      <c r="F790" s="12" t="str">
        <f aca="false">IF(C790="Compra",D790*E790,IF(C790="Staking",D790*E790,""))</f>
        <v/>
      </c>
      <c r="G790" s="12" t="str">
        <f aca="false">IF(C790="Venda",IF(COUNTIF(A$3:A789,A790)&gt;0,(E790-SUMPRODUCT((A$3:A789=A790)*(C$3:C789="Compra")*F$3:F789)/IF(SUMPRODUCT((A$3:A789=A790)*(C$3:C789="Compra")*D$3:D789)=0,1,SUMPRODUCT((A$3:A789=A790)*(C$3:C789="Compra")*D$3:D789)))*D790,0),"")</f>
        <v/>
      </c>
      <c r="H790" s="12" t="str">
        <f aca="false">IF(C790="Venda",E790*D790,"")</f>
        <v/>
      </c>
    </row>
    <row r="791" customFormat="false" ht="15" hidden="false" customHeight="false" outlineLevel="0" collapsed="false">
      <c r="A791" s="14" t="str">
        <f aca="false">IF(Transações!C791&lt;&gt;"",Transações!C791,"")</f>
        <v/>
      </c>
      <c r="B791" s="14" t="str">
        <f aca="false">IF(Transações!A791&lt;&gt;"",Transações!A791,"")</f>
        <v/>
      </c>
      <c r="C791" s="14" t="str">
        <f aca="false">IF(Transações!B791&lt;&gt;"",Transações!B791,"")</f>
        <v/>
      </c>
      <c r="D791" s="15" t="str">
        <f aca="false">IF(Transações!D791&lt;&gt;"",Transações!D791,"")</f>
        <v/>
      </c>
      <c r="E791" s="16" t="str">
        <f aca="false">IF(Transações!E791&lt;&gt;"",Transações!E791,"")</f>
        <v/>
      </c>
      <c r="F791" s="7" t="str">
        <f aca="false">IF(C791="Compra",D791*E791,IF(C791="Staking",D791*E791,""))</f>
        <v/>
      </c>
      <c r="G791" s="7" t="str">
        <f aca="false">IF(C791="Venda",IF(COUNTIF(A$3:A790,A791)&gt;0,(E791-SUMPRODUCT((A$3:A790=A791)*(C$3:C790="Compra")*F$3:F790)/IF(SUMPRODUCT((A$3:A790=A791)*(C$3:C790="Compra")*D$3:D790)=0,1,SUMPRODUCT((A$3:A790=A791)*(C$3:C790="Compra")*D$3:D790)))*D791,0),"")</f>
        <v/>
      </c>
      <c r="H791" s="7" t="str">
        <f aca="false">IF(C791="Venda",E791*D791,"")</f>
        <v/>
      </c>
    </row>
    <row r="792" customFormat="false" ht="15" hidden="false" customHeight="false" outlineLevel="0" collapsed="false">
      <c r="A792" s="17" t="str">
        <f aca="false">IF(Transações!C792&lt;&gt;"",Transações!C792,"")</f>
        <v/>
      </c>
      <c r="B792" s="17" t="str">
        <f aca="false">IF(Transações!A792&lt;&gt;"",Transações!A792,"")</f>
        <v/>
      </c>
      <c r="C792" s="17" t="str">
        <f aca="false">IF(Transações!B792&lt;&gt;"",Transações!B792,"")</f>
        <v/>
      </c>
      <c r="D792" s="18" t="str">
        <f aca="false">IF(Transações!D792&lt;&gt;"",Transações!D792,"")</f>
        <v/>
      </c>
      <c r="E792" s="19" t="str">
        <f aca="false">IF(Transações!E792&lt;&gt;"",Transações!E792,"")</f>
        <v/>
      </c>
      <c r="F792" s="12" t="str">
        <f aca="false">IF(C792="Compra",D792*E792,IF(C792="Staking",D792*E792,""))</f>
        <v/>
      </c>
      <c r="G792" s="12" t="str">
        <f aca="false">IF(C792="Venda",IF(COUNTIF(A$3:A791,A792)&gt;0,(E792-SUMPRODUCT((A$3:A791=A792)*(C$3:C791="Compra")*F$3:F791)/IF(SUMPRODUCT((A$3:A791=A792)*(C$3:C791="Compra")*D$3:D791)=0,1,SUMPRODUCT((A$3:A791=A792)*(C$3:C791="Compra")*D$3:D791)))*D792,0),"")</f>
        <v/>
      </c>
      <c r="H792" s="12" t="str">
        <f aca="false">IF(C792="Venda",E792*D792,"")</f>
        <v/>
      </c>
    </row>
    <row r="793" customFormat="false" ht="15" hidden="false" customHeight="false" outlineLevel="0" collapsed="false">
      <c r="A793" s="14" t="str">
        <f aca="false">IF(Transações!C793&lt;&gt;"",Transações!C793,"")</f>
        <v/>
      </c>
      <c r="B793" s="14" t="str">
        <f aca="false">IF(Transações!A793&lt;&gt;"",Transações!A793,"")</f>
        <v/>
      </c>
      <c r="C793" s="14" t="str">
        <f aca="false">IF(Transações!B793&lt;&gt;"",Transações!B793,"")</f>
        <v/>
      </c>
      <c r="D793" s="15" t="str">
        <f aca="false">IF(Transações!D793&lt;&gt;"",Transações!D793,"")</f>
        <v/>
      </c>
      <c r="E793" s="16" t="str">
        <f aca="false">IF(Transações!E793&lt;&gt;"",Transações!E793,"")</f>
        <v/>
      </c>
      <c r="F793" s="7" t="str">
        <f aca="false">IF(C793="Compra",D793*E793,IF(C793="Staking",D793*E793,""))</f>
        <v/>
      </c>
      <c r="G793" s="7" t="str">
        <f aca="false">IF(C793="Venda",IF(COUNTIF(A$3:A792,A793)&gt;0,(E793-SUMPRODUCT((A$3:A792=A793)*(C$3:C792="Compra")*F$3:F792)/IF(SUMPRODUCT((A$3:A792=A793)*(C$3:C792="Compra")*D$3:D792)=0,1,SUMPRODUCT((A$3:A792=A793)*(C$3:C792="Compra")*D$3:D792)))*D793,0),"")</f>
        <v/>
      </c>
      <c r="H793" s="7" t="str">
        <f aca="false">IF(C793="Venda",E793*D793,"")</f>
        <v/>
      </c>
    </row>
    <row r="794" customFormat="false" ht="15" hidden="false" customHeight="false" outlineLevel="0" collapsed="false">
      <c r="A794" s="17" t="str">
        <f aca="false">IF(Transações!C794&lt;&gt;"",Transações!C794,"")</f>
        <v/>
      </c>
      <c r="B794" s="17" t="str">
        <f aca="false">IF(Transações!A794&lt;&gt;"",Transações!A794,"")</f>
        <v/>
      </c>
      <c r="C794" s="17" t="str">
        <f aca="false">IF(Transações!B794&lt;&gt;"",Transações!B794,"")</f>
        <v/>
      </c>
      <c r="D794" s="18" t="str">
        <f aca="false">IF(Transações!D794&lt;&gt;"",Transações!D794,"")</f>
        <v/>
      </c>
      <c r="E794" s="19" t="str">
        <f aca="false">IF(Transações!E794&lt;&gt;"",Transações!E794,"")</f>
        <v/>
      </c>
      <c r="F794" s="12" t="str">
        <f aca="false">IF(C794="Compra",D794*E794,IF(C794="Staking",D794*E794,""))</f>
        <v/>
      </c>
      <c r="G794" s="12" t="str">
        <f aca="false">IF(C794="Venda",IF(COUNTIF(A$3:A793,A794)&gt;0,(E794-SUMPRODUCT((A$3:A793=A794)*(C$3:C793="Compra")*F$3:F793)/IF(SUMPRODUCT((A$3:A793=A794)*(C$3:C793="Compra")*D$3:D793)=0,1,SUMPRODUCT((A$3:A793=A794)*(C$3:C793="Compra")*D$3:D793)))*D794,0),"")</f>
        <v/>
      </c>
      <c r="H794" s="12" t="str">
        <f aca="false">IF(C794="Venda",E794*D794,"")</f>
        <v/>
      </c>
    </row>
    <row r="795" customFormat="false" ht="15" hidden="false" customHeight="false" outlineLevel="0" collapsed="false">
      <c r="A795" s="14" t="str">
        <f aca="false">IF(Transações!C795&lt;&gt;"",Transações!C795,"")</f>
        <v/>
      </c>
      <c r="B795" s="14" t="str">
        <f aca="false">IF(Transações!A795&lt;&gt;"",Transações!A795,"")</f>
        <v/>
      </c>
      <c r="C795" s="14" t="str">
        <f aca="false">IF(Transações!B795&lt;&gt;"",Transações!B795,"")</f>
        <v/>
      </c>
      <c r="D795" s="15" t="str">
        <f aca="false">IF(Transações!D795&lt;&gt;"",Transações!D795,"")</f>
        <v/>
      </c>
      <c r="E795" s="16" t="str">
        <f aca="false">IF(Transações!E795&lt;&gt;"",Transações!E795,"")</f>
        <v/>
      </c>
      <c r="F795" s="7" t="str">
        <f aca="false">IF(C795="Compra",D795*E795,IF(C795="Staking",D795*E795,""))</f>
        <v/>
      </c>
      <c r="G795" s="7" t="str">
        <f aca="false">IF(C795="Venda",IF(COUNTIF(A$3:A794,A795)&gt;0,(E795-SUMPRODUCT((A$3:A794=A795)*(C$3:C794="Compra")*F$3:F794)/IF(SUMPRODUCT((A$3:A794=A795)*(C$3:C794="Compra")*D$3:D794)=0,1,SUMPRODUCT((A$3:A794=A795)*(C$3:C794="Compra")*D$3:D794)))*D795,0),"")</f>
        <v/>
      </c>
      <c r="H795" s="7" t="str">
        <f aca="false">IF(C795="Venda",E795*D795,"")</f>
        <v/>
      </c>
    </row>
    <row r="796" customFormat="false" ht="15" hidden="false" customHeight="false" outlineLevel="0" collapsed="false">
      <c r="A796" s="17" t="str">
        <f aca="false">IF(Transações!C796&lt;&gt;"",Transações!C796,"")</f>
        <v/>
      </c>
      <c r="B796" s="17" t="str">
        <f aca="false">IF(Transações!A796&lt;&gt;"",Transações!A796,"")</f>
        <v/>
      </c>
      <c r="C796" s="17" t="str">
        <f aca="false">IF(Transações!B796&lt;&gt;"",Transações!B796,"")</f>
        <v/>
      </c>
      <c r="D796" s="18" t="str">
        <f aca="false">IF(Transações!D796&lt;&gt;"",Transações!D796,"")</f>
        <v/>
      </c>
      <c r="E796" s="19" t="str">
        <f aca="false">IF(Transações!E796&lt;&gt;"",Transações!E796,"")</f>
        <v/>
      </c>
      <c r="F796" s="12" t="str">
        <f aca="false">IF(C796="Compra",D796*E796,IF(C796="Staking",D796*E796,""))</f>
        <v/>
      </c>
      <c r="G796" s="12" t="str">
        <f aca="false">IF(C796="Venda",IF(COUNTIF(A$3:A795,A796)&gt;0,(E796-SUMPRODUCT((A$3:A795=A796)*(C$3:C795="Compra")*F$3:F795)/IF(SUMPRODUCT((A$3:A795=A796)*(C$3:C795="Compra")*D$3:D795)=0,1,SUMPRODUCT((A$3:A795=A796)*(C$3:C795="Compra")*D$3:D795)))*D796,0),"")</f>
        <v/>
      </c>
      <c r="H796" s="12" t="str">
        <f aca="false">IF(C796="Venda",E796*D796,"")</f>
        <v/>
      </c>
    </row>
    <row r="797" customFormat="false" ht="15" hidden="false" customHeight="false" outlineLevel="0" collapsed="false">
      <c r="A797" s="14" t="str">
        <f aca="false">IF(Transações!C797&lt;&gt;"",Transações!C797,"")</f>
        <v/>
      </c>
      <c r="B797" s="14" t="str">
        <f aca="false">IF(Transações!A797&lt;&gt;"",Transações!A797,"")</f>
        <v/>
      </c>
      <c r="C797" s="14" t="str">
        <f aca="false">IF(Transações!B797&lt;&gt;"",Transações!B797,"")</f>
        <v/>
      </c>
      <c r="D797" s="15" t="str">
        <f aca="false">IF(Transações!D797&lt;&gt;"",Transações!D797,"")</f>
        <v/>
      </c>
      <c r="E797" s="16" t="str">
        <f aca="false">IF(Transações!E797&lt;&gt;"",Transações!E797,"")</f>
        <v/>
      </c>
      <c r="F797" s="7" t="str">
        <f aca="false">IF(C797="Compra",D797*E797,IF(C797="Staking",D797*E797,""))</f>
        <v/>
      </c>
      <c r="G797" s="7" t="str">
        <f aca="false">IF(C797="Venda",IF(COUNTIF(A$3:A796,A797)&gt;0,(E797-SUMPRODUCT((A$3:A796=A797)*(C$3:C796="Compra")*F$3:F796)/IF(SUMPRODUCT((A$3:A796=A797)*(C$3:C796="Compra")*D$3:D796)=0,1,SUMPRODUCT((A$3:A796=A797)*(C$3:C796="Compra")*D$3:D796)))*D797,0),"")</f>
        <v/>
      </c>
      <c r="H797" s="7" t="str">
        <f aca="false">IF(C797="Venda",E797*D797,"")</f>
        <v/>
      </c>
    </row>
    <row r="798" customFormat="false" ht="15" hidden="false" customHeight="false" outlineLevel="0" collapsed="false">
      <c r="A798" s="17" t="str">
        <f aca="false">IF(Transações!C798&lt;&gt;"",Transações!C798,"")</f>
        <v/>
      </c>
      <c r="B798" s="17" t="str">
        <f aca="false">IF(Transações!A798&lt;&gt;"",Transações!A798,"")</f>
        <v/>
      </c>
      <c r="C798" s="17" t="str">
        <f aca="false">IF(Transações!B798&lt;&gt;"",Transações!B798,"")</f>
        <v/>
      </c>
      <c r="D798" s="18" t="str">
        <f aca="false">IF(Transações!D798&lt;&gt;"",Transações!D798,"")</f>
        <v/>
      </c>
      <c r="E798" s="19" t="str">
        <f aca="false">IF(Transações!E798&lt;&gt;"",Transações!E798,"")</f>
        <v/>
      </c>
      <c r="F798" s="12" t="str">
        <f aca="false">IF(C798="Compra",D798*E798,IF(C798="Staking",D798*E798,""))</f>
        <v/>
      </c>
      <c r="G798" s="12" t="str">
        <f aca="false">IF(C798="Venda",IF(COUNTIF(A$3:A797,A798)&gt;0,(E798-SUMPRODUCT((A$3:A797=A798)*(C$3:C797="Compra")*F$3:F797)/IF(SUMPRODUCT((A$3:A797=A798)*(C$3:C797="Compra")*D$3:D797)=0,1,SUMPRODUCT((A$3:A797=A798)*(C$3:C797="Compra")*D$3:D797)))*D798,0),"")</f>
        <v/>
      </c>
      <c r="H798" s="12" t="str">
        <f aca="false">IF(C798="Venda",E798*D798,"")</f>
        <v/>
      </c>
    </row>
    <row r="799" customFormat="false" ht="15" hidden="false" customHeight="false" outlineLevel="0" collapsed="false">
      <c r="A799" s="14" t="str">
        <f aca="false">IF(Transações!C799&lt;&gt;"",Transações!C799,"")</f>
        <v/>
      </c>
      <c r="B799" s="14" t="str">
        <f aca="false">IF(Transações!A799&lt;&gt;"",Transações!A799,"")</f>
        <v/>
      </c>
      <c r="C799" s="14" t="str">
        <f aca="false">IF(Transações!B799&lt;&gt;"",Transações!B799,"")</f>
        <v/>
      </c>
      <c r="D799" s="15" t="str">
        <f aca="false">IF(Transações!D799&lt;&gt;"",Transações!D799,"")</f>
        <v/>
      </c>
      <c r="E799" s="16" t="str">
        <f aca="false">IF(Transações!E799&lt;&gt;"",Transações!E799,"")</f>
        <v/>
      </c>
      <c r="F799" s="7" t="str">
        <f aca="false">IF(C799="Compra",D799*E799,IF(C799="Staking",D799*E799,""))</f>
        <v/>
      </c>
      <c r="G799" s="7" t="str">
        <f aca="false">IF(C799="Venda",IF(COUNTIF(A$3:A798,A799)&gt;0,(E799-SUMPRODUCT((A$3:A798=A799)*(C$3:C798="Compra")*F$3:F798)/IF(SUMPRODUCT((A$3:A798=A799)*(C$3:C798="Compra")*D$3:D798)=0,1,SUMPRODUCT((A$3:A798=A799)*(C$3:C798="Compra")*D$3:D798)))*D799,0),"")</f>
        <v/>
      </c>
      <c r="H799" s="7" t="str">
        <f aca="false">IF(C799="Venda",E799*D799,"")</f>
        <v/>
      </c>
    </row>
    <row r="800" customFormat="false" ht="15" hidden="false" customHeight="false" outlineLevel="0" collapsed="false">
      <c r="A800" s="17" t="str">
        <f aca="false">IF(Transações!C800&lt;&gt;"",Transações!C800,"")</f>
        <v/>
      </c>
      <c r="B800" s="17" t="str">
        <f aca="false">IF(Transações!A800&lt;&gt;"",Transações!A800,"")</f>
        <v/>
      </c>
      <c r="C800" s="17" t="str">
        <f aca="false">IF(Transações!B800&lt;&gt;"",Transações!B800,"")</f>
        <v/>
      </c>
      <c r="D800" s="18" t="str">
        <f aca="false">IF(Transações!D800&lt;&gt;"",Transações!D800,"")</f>
        <v/>
      </c>
      <c r="E800" s="19" t="str">
        <f aca="false">IF(Transações!E800&lt;&gt;"",Transações!E800,"")</f>
        <v/>
      </c>
      <c r="F800" s="12" t="str">
        <f aca="false">IF(C800="Compra",D800*E800,IF(C800="Staking",D800*E800,""))</f>
        <v/>
      </c>
      <c r="G800" s="12" t="str">
        <f aca="false">IF(C800="Venda",IF(COUNTIF(A$3:A799,A800)&gt;0,(E800-SUMPRODUCT((A$3:A799=A800)*(C$3:C799="Compra")*F$3:F799)/IF(SUMPRODUCT((A$3:A799=A800)*(C$3:C799="Compra")*D$3:D799)=0,1,SUMPRODUCT((A$3:A799=A800)*(C$3:C799="Compra")*D$3:D799)))*D800,0),"")</f>
        <v/>
      </c>
      <c r="H800" s="12" t="str">
        <f aca="false">IF(C800="Venda",E800*D800,"")</f>
        <v/>
      </c>
    </row>
    <row r="801" customFormat="false" ht="15" hidden="false" customHeight="false" outlineLevel="0" collapsed="false">
      <c r="A801" s="14" t="str">
        <f aca="false">IF(Transações!C801&lt;&gt;"",Transações!C801,"")</f>
        <v/>
      </c>
      <c r="B801" s="14" t="str">
        <f aca="false">IF(Transações!A801&lt;&gt;"",Transações!A801,"")</f>
        <v/>
      </c>
      <c r="C801" s="14" t="str">
        <f aca="false">IF(Transações!B801&lt;&gt;"",Transações!B801,"")</f>
        <v/>
      </c>
      <c r="D801" s="15" t="str">
        <f aca="false">IF(Transações!D801&lt;&gt;"",Transações!D801,"")</f>
        <v/>
      </c>
      <c r="E801" s="16" t="str">
        <f aca="false">IF(Transações!E801&lt;&gt;"",Transações!E801,"")</f>
        <v/>
      </c>
      <c r="F801" s="7" t="str">
        <f aca="false">IF(C801="Compra",D801*E801,IF(C801="Staking",D801*E801,""))</f>
        <v/>
      </c>
      <c r="G801" s="7" t="str">
        <f aca="false">IF(C801="Venda",IF(COUNTIF(A$3:A800,A801)&gt;0,(E801-SUMPRODUCT((A$3:A800=A801)*(C$3:C800="Compra")*F$3:F800)/IF(SUMPRODUCT((A$3:A800=A801)*(C$3:C800="Compra")*D$3:D800)=0,1,SUMPRODUCT((A$3:A800=A801)*(C$3:C800="Compra")*D$3:D800)))*D801,0),"")</f>
        <v/>
      </c>
      <c r="H801" s="7" t="str">
        <f aca="false">IF(C801="Venda",E801*D801,"")</f>
        <v/>
      </c>
    </row>
    <row r="802" customFormat="false" ht="15" hidden="false" customHeight="false" outlineLevel="0" collapsed="false">
      <c r="A802" s="17" t="str">
        <f aca="false">IF(Transações!C802&lt;&gt;"",Transações!C802,"")</f>
        <v/>
      </c>
      <c r="B802" s="17" t="str">
        <f aca="false">IF(Transações!A802&lt;&gt;"",Transações!A802,"")</f>
        <v/>
      </c>
      <c r="C802" s="17" t="str">
        <f aca="false">IF(Transações!B802&lt;&gt;"",Transações!B802,"")</f>
        <v/>
      </c>
      <c r="D802" s="18" t="str">
        <f aca="false">IF(Transações!D802&lt;&gt;"",Transações!D802,"")</f>
        <v/>
      </c>
      <c r="E802" s="19" t="str">
        <f aca="false">IF(Transações!E802&lt;&gt;"",Transações!E802,"")</f>
        <v/>
      </c>
      <c r="F802" s="12" t="str">
        <f aca="false">IF(C802="Compra",D802*E802,IF(C802="Staking",D802*E802,""))</f>
        <v/>
      </c>
      <c r="G802" s="12" t="str">
        <f aca="false">IF(C802="Venda",IF(COUNTIF(A$3:A801,A802)&gt;0,(E802-SUMPRODUCT((A$3:A801=A802)*(C$3:C801="Compra")*F$3:F801)/IF(SUMPRODUCT((A$3:A801=A802)*(C$3:C801="Compra")*D$3:D801)=0,1,SUMPRODUCT((A$3:A801=A802)*(C$3:C801="Compra")*D$3:D801)))*D802,0),"")</f>
        <v/>
      </c>
      <c r="H802" s="12" t="str">
        <f aca="false">IF(C802="Venda",E802*D802,"")</f>
        <v/>
      </c>
    </row>
    <row r="803" customFormat="false" ht="15" hidden="false" customHeight="false" outlineLevel="0" collapsed="false">
      <c r="A803" s="14" t="str">
        <f aca="false">IF(Transações!C803&lt;&gt;"",Transações!C803,"")</f>
        <v/>
      </c>
      <c r="B803" s="14" t="str">
        <f aca="false">IF(Transações!A803&lt;&gt;"",Transações!A803,"")</f>
        <v/>
      </c>
      <c r="C803" s="14" t="str">
        <f aca="false">IF(Transações!B803&lt;&gt;"",Transações!B803,"")</f>
        <v/>
      </c>
      <c r="D803" s="15" t="str">
        <f aca="false">IF(Transações!D803&lt;&gt;"",Transações!D803,"")</f>
        <v/>
      </c>
      <c r="E803" s="16" t="str">
        <f aca="false">IF(Transações!E803&lt;&gt;"",Transações!E803,"")</f>
        <v/>
      </c>
      <c r="F803" s="7" t="str">
        <f aca="false">IF(C803="Compra",D803*E803,IF(C803="Staking",D803*E803,""))</f>
        <v/>
      </c>
      <c r="G803" s="7" t="str">
        <f aca="false">IF(C803="Venda",IF(COUNTIF(A$3:A802,A803)&gt;0,(E803-SUMPRODUCT((A$3:A802=A803)*(C$3:C802="Compra")*F$3:F802)/IF(SUMPRODUCT((A$3:A802=A803)*(C$3:C802="Compra")*D$3:D802)=0,1,SUMPRODUCT((A$3:A802=A803)*(C$3:C802="Compra")*D$3:D802)))*D803,0),"")</f>
        <v/>
      </c>
      <c r="H803" s="7" t="str">
        <f aca="false">IF(C803="Venda",E803*D803,"")</f>
        <v/>
      </c>
    </row>
    <row r="804" customFormat="false" ht="15" hidden="false" customHeight="false" outlineLevel="0" collapsed="false">
      <c r="A804" s="17" t="str">
        <f aca="false">IF(Transações!C804&lt;&gt;"",Transações!C804,"")</f>
        <v/>
      </c>
      <c r="B804" s="17" t="str">
        <f aca="false">IF(Transações!A804&lt;&gt;"",Transações!A804,"")</f>
        <v/>
      </c>
      <c r="C804" s="17" t="str">
        <f aca="false">IF(Transações!B804&lt;&gt;"",Transações!B804,"")</f>
        <v/>
      </c>
      <c r="D804" s="18" t="str">
        <f aca="false">IF(Transações!D804&lt;&gt;"",Transações!D804,"")</f>
        <v/>
      </c>
      <c r="E804" s="19" t="str">
        <f aca="false">IF(Transações!E804&lt;&gt;"",Transações!E804,"")</f>
        <v/>
      </c>
      <c r="F804" s="12" t="str">
        <f aca="false">IF(C804="Compra",D804*E804,IF(C804="Staking",D804*E804,""))</f>
        <v/>
      </c>
      <c r="G804" s="12" t="str">
        <f aca="false">IF(C804="Venda",IF(COUNTIF(A$3:A803,A804)&gt;0,(E804-SUMPRODUCT((A$3:A803=A804)*(C$3:C803="Compra")*F$3:F803)/IF(SUMPRODUCT((A$3:A803=A804)*(C$3:C803="Compra")*D$3:D803)=0,1,SUMPRODUCT((A$3:A803=A804)*(C$3:C803="Compra")*D$3:D803)))*D804,0),"")</f>
        <v/>
      </c>
      <c r="H804" s="12" t="str">
        <f aca="false">IF(C804="Venda",E804*D804,"")</f>
        <v/>
      </c>
    </row>
    <row r="805" customFormat="false" ht="15" hidden="false" customHeight="false" outlineLevel="0" collapsed="false">
      <c r="A805" s="14" t="str">
        <f aca="false">IF(Transações!C805&lt;&gt;"",Transações!C805,"")</f>
        <v/>
      </c>
      <c r="B805" s="14" t="str">
        <f aca="false">IF(Transações!A805&lt;&gt;"",Transações!A805,"")</f>
        <v/>
      </c>
      <c r="C805" s="14" t="str">
        <f aca="false">IF(Transações!B805&lt;&gt;"",Transações!B805,"")</f>
        <v/>
      </c>
      <c r="D805" s="15" t="str">
        <f aca="false">IF(Transações!D805&lt;&gt;"",Transações!D805,"")</f>
        <v/>
      </c>
      <c r="E805" s="16" t="str">
        <f aca="false">IF(Transações!E805&lt;&gt;"",Transações!E805,"")</f>
        <v/>
      </c>
      <c r="F805" s="7" t="str">
        <f aca="false">IF(C805="Compra",D805*E805,IF(C805="Staking",D805*E805,""))</f>
        <v/>
      </c>
      <c r="G805" s="7" t="str">
        <f aca="false">IF(C805="Venda",IF(COUNTIF(A$3:A804,A805)&gt;0,(E805-SUMPRODUCT((A$3:A804=A805)*(C$3:C804="Compra")*F$3:F804)/IF(SUMPRODUCT((A$3:A804=A805)*(C$3:C804="Compra")*D$3:D804)=0,1,SUMPRODUCT((A$3:A804=A805)*(C$3:C804="Compra")*D$3:D804)))*D805,0),"")</f>
        <v/>
      </c>
      <c r="H805" s="7" t="str">
        <f aca="false">IF(C805="Venda",E805*D805,"")</f>
        <v/>
      </c>
    </row>
    <row r="806" customFormat="false" ht="15" hidden="false" customHeight="false" outlineLevel="0" collapsed="false">
      <c r="A806" s="17" t="str">
        <f aca="false">IF(Transações!C806&lt;&gt;"",Transações!C806,"")</f>
        <v/>
      </c>
      <c r="B806" s="17" t="str">
        <f aca="false">IF(Transações!A806&lt;&gt;"",Transações!A806,"")</f>
        <v/>
      </c>
      <c r="C806" s="17" t="str">
        <f aca="false">IF(Transações!B806&lt;&gt;"",Transações!B806,"")</f>
        <v/>
      </c>
      <c r="D806" s="18" t="str">
        <f aca="false">IF(Transações!D806&lt;&gt;"",Transações!D806,"")</f>
        <v/>
      </c>
      <c r="E806" s="19" t="str">
        <f aca="false">IF(Transações!E806&lt;&gt;"",Transações!E806,"")</f>
        <v/>
      </c>
      <c r="F806" s="12" t="str">
        <f aca="false">IF(C806="Compra",D806*E806,IF(C806="Staking",D806*E806,""))</f>
        <v/>
      </c>
      <c r="G806" s="12" t="str">
        <f aca="false">IF(C806="Venda",IF(COUNTIF(A$3:A805,A806)&gt;0,(E806-SUMPRODUCT((A$3:A805=A806)*(C$3:C805="Compra")*F$3:F805)/IF(SUMPRODUCT((A$3:A805=A806)*(C$3:C805="Compra")*D$3:D805)=0,1,SUMPRODUCT((A$3:A805=A806)*(C$3:C805="Compra")*D$3:D805)))*D806,0),"")</f>
        <v/>
      </c>
      <c r="H806" s="12" t="str">
        <f aca="false">IF(C806="Venda",E806*D806,"")</f>
        <v/>
      </c>
    </row>
    <row r="807" customFormat="false" ht="15" hidden="false" customHeight="false" outlineLevel="0" collapsed="false">
      <c r="A807" s="14" t="str">
        <f aca="false">IF(Transações!C807&lt;&gt;"",Transações!C807,"")</f>
        <v/>
      </c>
      <c r="B807" s="14" t="str">
        <f aca="false">IF(Transações!A807&lt;&gt;"",Transações!A807,"")</f>
        <v/>
      </c>
      <c r="C807" s="14" t="str">
        <f aca="false">IF(Transações!B807&lt;&gt;"",Transações!B807,"")</f>
        <v/>
      </c>
      <c r="D807" s="15" t="str">
        <f aca="false">IF(Transações!D807&lt;&gt;"",Transações!D807,"")</f>
        <v/>
      </c>
      <c r="E807" s="16" t="str">
        <f aca="false">IF(Transações!E807&lt;&gt;"",Transações!E807,"")</f>
        <v/>
      </c>
      <c r="F807" s="7" t="str">
        <f aca="false">IF(C807="Compra",D807*E807,IF(C807="Staking",D807*E807,""))</f>
        <v/>
      </c>
      <c r="G807" s="7" t="str">
        <f aca="false">IF(C807="Venda",IF(COUNTIF(A$3:A806,A807)&gt;0,(E807-SUMPRODUCT((A$3:A806=A807)*(C$3:C806="Compra")*F$3:F806)/IF(SUMPRODUCT((A$3:A806=A807)*(C$3:C806="Compra")*D$3:D806)=0,1,SUMPRODUCT((A$3:A806=A807)*(C$3:C806="Compra")*D$3:D806)))*D807,0),"")</f>
        <v/>
      </c>
      <c r="H807" s="7" t="str">
        <f aca="false">IF(C807="Venda",E807*D807,"")</f>
        <v/>
      </c>
    </row>
    <row r="808" customFormat="false" ht="15" hidden="false" customHeight="false" outlineLevel="0" collapsed="false">
      <c r="A808" s="17" t="str">
        <f aca="false">IF(Transações!C808&lt;&gt;"",Transações!C808,"")</f>
        <v/>
      </c>
      <c r="B808" s="17" t="str">
        <f aca="false">IF(Transações!A808&lt;&gt;"",Transações!A808,"")</f>
        <v/>
      </c>
      <c r="C808" s="17" t="str">
        <f aca="false">IF(Transações!B808&lt;&gt;"",Transações!B808,"")</f>
        <v/>
      </c>
      <c r="D808" s="18" t="str">
        <f aca="false">IF(Transações!D808&lt;&gt;"",Transações!D808,"")</f>
        <v/>
      </c>
      <c r="E808" s="19" t="str">
        <f aca="false">IF(Transações!E808&lt;&gt;"",Transações!E808,"")</f>
        <v/>
      </c>
      <c r="F808" s="12" t="str">
        <f aca="false">IF(C808="Compra",D808*E808,IF(C808="Staking",D808*E808,""))</f>
        <v/>
      </c>
      <c r="G808" s="12" t="str">
        <f aca="false">IF(C808="Venda",IF(COUNTIF(A$3:A807,A808)&gt;0,(E808-SUMPRODUCT((A$3:A807=A808)*(C$3:C807="Compra")*F$3:F807)/IF(SUMPRODUCT((A$3:A807=A808)*(C$3:C807="Compra")*D$3:D807)=0,1,SUMPRODUCT((A$3:A807=A808)*(C$3:C807="Compra")*D$3:D807)))*D808,0),"")</f>
        <v/>
      </c>
      <c r="H808" s="12" t="str">
        <f aca="false">IF(C808="Venda",E808*D808,"")</f>
        <v/>
      </c>
    </row>
    <row r="809" customFormat="false" ht="15" hidden="false" customHeight="false" outlineLevel="0" collapsed="false">
      <c r="A809" s="14" t="str">
        <f aca="false">IF(Transações!C809&lt;&gt;"",Transações!C809,"")</f>
        <v/>
      </c>
      <c r="B809" s="14" t="str">
        <f aca="false">IF(Transações!A809&lt;&gt;"",Transações!A809,"")</f>
        <v/>
      </c>
      <c r="C809" s="14" t="str">
        <f aca="false">IF(Transações!B809&lt;&gt;"",Transações!B809,"")</f>
        <v/>
      </c>
      <c r="D809" s="15" t="str">
        <f aca="false">IF(Transações!D809&lt;&gt;"",Transações!D809,"")</f>
        <v/>
      </c>
      <c r="E809" s="16" t="str">
        <f aca="false">IF(Transações!E809&lt;&gt;"",Transações!E809,"")</f>
        <v/>
      </c>
      <c r="F809" s="7" t="str">
        <f aca="false">IF(C809="Compra",D809*E809,IF(C809="Staking",D809*E809,""))</f>
        <v/>
      </c>
      <c r="G809" s="7" t="str">
        <f aca="false">IF(C809="Venda",IF(COUNTIF(A$3:A808,A809)&gt;0,(E809-SUMPRODUCT((A$3:A808=A809)*(C$3:C808="Compra")*F$3:F808)/IF(SUMPRODUCT((A$3:A808=A809)*(C$3:C808="Compra")*D$3:D808)=0,1,SUMPRODUCT((A$3:A808=A809)*(C$3:C808="Compra")*D$3:D808)))*D809,0),"")</f>
        <v/>
      </c>
      <c r="H809" s="7" t="str">
        <f aca="false">IF(C809="Venda",E809*D809,"")</f>
        <v/>
      </c>
    </row>
    <row r="810" customFormat="false" ht="15" hidden="false" customHeight="false" outlineLevel="0" collapsed="false">
      <c r="A810" s="17" t="str">
        <f aca="false">IF(Transações!C810&lt;&gt;"",Transações!C810,"")</f>
        <v/>
      </c>
      <c r="B810" s="17" t="str">
        <f aca="false">IF(Transações!A810&lt;&gt;"",Transações!A810,"")</f>
        <v/>
      </c>
      <c r="C810" s="17" t="str">
        <f aca="false">IF(Transações!B810&lt;&gt;"",Transações!B810,"")</f>
        <v/>
      </c>
      <c r="D810" s="18" t="str">
        <f aca="false">IF(Transações!D810&lt;&gt;"",Transações!D810,"")</f>
        <v/>
      </c>
      <c r="E810" s="19" t="str">
        <f aca="false">IF(Transações!E810&lt;&gt;"",Transações!E810,"")</f>
        <v/>
      </c>
      <c r="F810" s="12" t="str">
        <f aca="false">IF(C810="Compra",D810*E810,IF(C810="Staking",D810*E810,""))</f>
        <v/>
      </c>
      <c r="G810" s="12" t="str">
        <f aca="false">IF(C810="Venda",IF(COUNTIF(A$3:A809,A810)&gt;0,(E810-SUMPRODUCT((A$3:A809=A810)*(C$3:C809="Compra")*F$3:F809)/IF(SUMPRODUCT((A$3:A809=A810)*(C$3:C809="Compra")*D$3:D809)=0,1,SUMPRODUCT((A$3:A809=A810)*(C$3:C809="Compra")*D$3:D809)))*D810,0),"")</f>
        <v/>
      </c>
      <c r="H810" s="12" t="str">
        <f aca="false">IF(C810="Venda",E810*D810,"")</f>
        <v/>
      </c>
    </row>
    <row r="811" customFormat="false" ht="15" hidden="false" customHeight="false" outlineLevel="0" collapsed="false">
      <c r="A811" s="14" t="str">
        <f aca="false">IF(Transações!C811&lt;&gt;"",Transações!C811,"")</f>
        <v/>
      </c>
      <c r="B811" s="14" t="str">
        <f aca="false">IF(Transações!A811&lt;&gt;"",Transações!A811,"")</f>
        <v/>
      </c>
      <c r="C811" s="14" t="str">
        <f aca="false">IF(Transações!B811&lt;&gt;"",Transações!B811,"")</f>
        <v/>
      </c>
      <c r="D811" s="15" t="str">
        <f aca="false">IF(Transações!D811&lt;&gt;"",Transações!D811,"")</f>
        <v/>
      </c>
      <c r="E811" s="16" t="str">
        <f aca="false">IF(Transações!E811&lt;&gt;"",Transações!E811,"")</f>
        <v/>
      </c>
      <c r="F811" s="7" t="str">
        <f aca="false">IF(C811="Compra",D811*E811,IF(C811="Staking",D811*E811,""))</f>
        <v/>
      </c>
      <c r="G811" s="7" t="str">
        <f aca="false">IF(C811="Venda",IF(COUNTIF(A$3:A810,A811)&gt;0,(E811-SUMPRODUCT((A$3:A810=A811)*(C$3:C810="Compra")*F$3:F810)/IF(SUMPRODUCT((A$3:A810=A811)*(C$3:C810="Compra")*D$3:D810)=0,1,SUMPRODUCT((A$3:A810=A811)*(C$3:C810="Compra")*D$3:D810)))*D811,0),"")</f>
        <v/>
      </c>
      <c r="H811" s="7" t="str">
        <f aca="false">IF(C811="Venda",E811*D811,"")</f>
        <v/>
      </c>
    </row>
    <row r="812" customFormat="false" ht="15" hidden="false" customHeight="false" outlineLevel="0" collapsed="false">
      <c r="A812" s="17" t="str">
        <f aca="false">IF(Transações!C812&lt;&gt;"",Transações!C812,"")</f>
        <v/>
      </c>
      <c r="B812" s="17" t="str">
        <f aca="false">IF(Transações!A812&lt;&gt;"",Transações!A812,"")</f>
        <v/>
      </c>
      <c r="C812" s="17" t="str">
        <f aca="false">IF(Transações!B812&lt;&gt;"",Transações!B812,"")</f>
        <v/>
      </c>
      <c r="D812" s="18" t="str">
        <f aca="false">IF(Transações!D812&lt;&gt;"",Transações!D812,"")</f>
        <v/>
      </c>
      <c r="E812" s="19" t="str">
        <f aca="false">IF(Transações!E812&lt;&gt;"",Transações!E812,"")</f>
        <v/>
      </c>
      <c r="F812" s="12" t="str">
        <f aca="false">IF(C812="Compra",D812*E812,IF(C812="Staking",D812*E812,""))</f>
        <v/>
      </c>
      <c r="G812" s="12" t="str">
        <f aca="false">IF(C812="Venda",IF(COUNTIF(A$3:A811,A812)&gt;0,(E812-SUMPRODUCT((A$3:A811=A812)*(C$3:C811="Compra")*F$3:F811)/IF(SUMPRODUCT((A$3:A811=A812)*(C$3:C811="Compra")*D$3:D811)=0,1,SUMPRODUCT((A$3:A811=A812)*(C$3:C811="Compra")*D$3:D811)))*D812,0),"")</f>
        <v/>
      </c>
      <c r="H812" s="12" t="str">
        <f aca="false">IF(C812="Venda",E812*D812,"")</f>
        <v/>
      </c>
    </row>
    <row r="813" customFormat="false" ht="15" hidden="false" customHeight="false" outlineLevel="0" collapsed="false">
      <c r="A813" s="14" t="str">
        <f aca="false">IF(Transações!C813&lt;&gt;"",Transações!C813,"")</f>
        <v/>
      </c>
      <c r="B813" s="14" t="str">
        <f aca="false">IF(Transações!A813&lt;&gt;"",Transações!A813,"")</f>
        <v/>
      </c>
      <c r="C813" s="14" t="str">
        <f aca="false">IF(Transações!B813&lt;&gt;"",Transações!B813,"")</f>
        <v/>
      </c>
      <c r="D813" s="15" t="str">
        <f aca="false">IF(Transações!D813&lt;&gt;"",Transações!D813,"")</f>
        <v/>
      </c>
      <c r="E813" s="16" t="str">
        <f aca="false">IF(Transações!E813&lt;&gt;"",Transações!E813,"")</f>
        <v/>
      </c>
      <c r="F813" s="7" t="str">
        <f aca="false">IF(C813="Compra",D813*E813,IF(C813="Staking",D813*E813,""))</f>
        <v/>
      </c>
      <c r="G813" s="7" t="str">
        <f aca="false">IF(C813="Venda",IF(COUNTIF(A$3:A812,A813)&gt;0,(E813-SUMPRODUCT((A$3:A812=A813)*(C$3:C812="Compra")*F$3:F812)/IF(SUMPRODUCT((A$3:A812=A813)*(C$3:C812="Compra")*D$3:D812)=0,1,SUMPRODUCT((A$3:A812=A813)*(C$3:C812="Compra")*D$3:D812)))*D813,0),"")</f>
        <v/>
      </c>
      <c r="H813" s="7" t="str">
        <f aca="false">IF(C813="Venda",E813*D813,"")</f>
        <v/>
      </c>
    </row>
    <row r="814" customFormat="false" ht="15" hidden="false" customHeight="false" outlineLevel="0" collapsed="false">
      <c r="A814" s="17" t="str">
        <f aca="false">IF(Transações!C814&lt;&gt;"",Transações!C814,"")</f>
        <v/>
      </c>
      <c r="B814" s="17" t="str">
        <f aca="false">IF(Transações!A814&lt;&gt;"",Transações!A814,"")</f>
        <v/>
      </c>
      <c r="C814" s="17" t="str">
        <f aca="false">IF(Transações!B814&lt;&gt;"",Transações!B814,"")</f>
        <v/>
      </c>
      <c r="D814" s="18" t="str">
        <f aca="false">IF(Transações!D814&lt;&gt;"",Transações!D814,"")</f>
        <v/>
      </c>
      <c r="E814" s="19" t="str">
        <f aca="false">IF(Transações!E814&lt;&gt;"",Transações!E814,"")</f>
        <v/>
      </c>
      <c r="F814" s="12" t="str">
        <f aca="false">IF(C814="Compra",D814*E814,IF(C814="Staking",D814*E814,""))</f>
        <v/>
      </c>
      <c r="G814" s="12" t="str">
        <f aca="false">IF(C814="Venda",IF(COUNTIF(A$3:A813,A814)&gt;0,(E814-SUMPRODUCT((A$3:A813=A814)*(C$3:C813="Compra")*F$3:F813)/IF(SUMPRODUCT((A$3:A813=A814)*(C$3:C813="Compra")*D$3:D813)=0,1,SUMPRODUCT((A$3:A813=A814)*(C$3:C813="Compra")*D$3:D813)))*D814,0),"")</f>
        <v/>
      </c>
      <c r="H814" s="12" t="str">
        <f aca="false">IF(C814="Venda",E814*D814,"")</f>
        <v/>
      </c>
    </row>
    <row r="815" customFormat="false" ht="15" hidden="false" customHeight="false" outlineLevel="0" collapsed="false">
      <c r="A815" s="14" t="str">
        <f aca="false">IF(Transações!C815&lt;&gt;"",Transações!C815,"")</f>
        <v/>
      </c>
      <c r="B815" s="14" t="str">
        <f aca="false">IF(Transações!A815&lt;&gt;"",Transações!A815,"")</f>
        <v/>
      </c>
      <c r="C815" s="14" t="str">
        <f aca="false">IF(Transações!B815&lt;&gt;"",Transações!B815,"")</f>
        <v/>
      </c>
      <c r="D815" s="15" t="str">
        <f aca="false">IF(Transações!D815&lt;&gt;"",Transações!D815,"")</f>
        <v/>
      </c>
      <c r="E815" s="16" t="str">
        <f aca="false">IF(Transações!E815&lt;&gt;"",Transações!E815,"")</f>
        <v/>
      </c>
      <c r="F815" s="7" t="str">
        <f aca="false">IF(C815="Compra",D815*E815,IF(C815="Staking",D815*E815,""))</f>
        <v/>
      </c>
      <c r="G815" s="7" t="str">
        <f aca="false">IF(C815="Venda",IF(COUNTIF(A$3:A814,A815)&gt;0,(E815-SUMPRODUCT((A$3:A814=A815)*(C$3:C814="Compra")*F$3:F814)/IF(SUMPRODUCT((A$3:A814=A815)*(C$3:C814="Compra")*D$3:D814)=0,1,SUMPRODUCT((A$3:A814=A815)*(C$3:C814="Compra")*D$3:D814)))*D815,0),"")</f>
        <v/>
      </c>
      <c r="H815" s="7" t="str">
        <f aca="false">IF(C815="Venda",E815*D815,"")</f>
        <v/>
      </c>
    </row>
    <row r="816" customFormat="false" ht="15" hidden="false" customHeight="false" outlineLevel="0" collapsed="false">
      <c r="A816" s="17" t="str">
        <f aca="false">IF(Transações!C816&lt;&gt;"",Transações!C816,"")</f>
        <v/>
      </c>
      <c r="B816" s="17" t="str">
        <f aca="false">IF(Transações!A816&lt;&gt;"",Transações!A816,"")</f>
        <v/>
      </c>
      <c r="C816" s="17" t="str">
        <f aca="false">IF(Transações!B816&lt;&gt;"",Transações!B816,"")</f>
        <v/>
      </c>
      <c r="D816" s="18" t="str">
        <f aca="false">IF(Transações!D816&lt;&gt;"",Transações!D816,"")</f>
        <v/>
      </c>
      <c r="E816" s="19" t="str">
        <f aca="false">IF(Transações!E816&lt;&gt;"",Transações!E816,"")</f>
        <v/>
      </c>
      <c r="F816" s="12" t="str">
        <f aca="false">IF(C816="Compra",D816*E816,IF(C816="Staking",D816*E816,""))</f>
        <v/>
      </c>
      <c r="G816" s="12" t="str">
        <f aca="false">IF(C816="Venda",IF(COUNTIF(A$3:A815,A816)&gt;0,(E816-SUMPRODUCT((A$3:A815=A816)*(C$3:C815="Compra")*F$3:F815)/IF(SUMPRODUCT((A$3:A815=A816)*(C$3:C815="Compra")*D$3:D815)=0,1,SUMPRODUCT((A$3:A815=A816)*(C$3:C815="Compra")*D$3:D815)))*D816,0),"")</f>
        <v/>
      </c>
      <c r="H816" s="12" t="str">
        <f aca="false">IF(C816="Venda",E816*D816,"")</f>
        <v/>
      </c>
    </row>
    <row r="817" customFormat="false" ht="15" hidden="false" customHeight="false" outlineLevel="0" collapsed="false">
      <c r="A817" s="14" t="str">
        <f aca="false">IF(Transações!C817&lt;&gt;"",Transações!C817,"")</f>
        <v/>
      </c>
      <c r="B817" s="14" t="str">
        <f aca="false">IF(Transações!A817&lt;&gt;"",Transações!A817,"")</f>
        <v/>
      </c>
      <c r="C817" s="14" t="str">
        <f aca="false">IF(Transações!B817&lt;&gt;"",Transações!B817,"")</f>
        <v/>
      </c>
      <c r="D817" s="15" t="str">
        <f aca="false">IF(Transações!D817&lt;&gt;"",Transações!D817,"")</f>
        <v/>
      </c>
      <c r="E817" s="16" t="str">
        <f aca="false">IF(Transações!E817&lt;&gt;"",Transações!E817,"")</f>
        <v/>
      </c>
      <c r="F817" s="7" t="str">
        <f aca="false">IF(C817="Compra",D817*E817,IF(C817="Staking",D817*E817,""))</f>
        <v/>
      </c>
      <c r="G817" s="7" t="str">
        <f aca="false">IF(C817="Venda",IF(COUNTIF(A$3:A816,A817)&gt;0,(E817-SUMPRODUCT((A$3:A816=A817)*(C$3:C816="Compra")*F$3:F816)/IF(SUMPRODUCT((A$3:A816=A817)*(C$3:C816="Compra")*D$3:D816)=0,1,SUMPRODUCT((A$3:A816=A817)*(C$3:C816="Compra")*D$3:D816)))*D817,0),"")</f>
        <v/>
      </c>
      <c r="H817" s="7" t="str">
        <f aca="false">IF(C817="Venda",E817*D817,"")</f>
        <v/>
      </c>
    </row>
    <row r="818" customFormat="false" ht="15" hidden="false" customHeight="false" outlineLevel="0" collapsed="false">
      <c r="A818" s="17" t="str">
        <f aca="false">IF(Transações!C818&lt;&gt;"",Transações!C818,"")</f>
        <v/>
      </c>
      <c r="B818" s="17" t="str">
        <f aca="false">IF(Transações!A818&lt;&gt;"",Transações!A818,"")</f>
        <v/>
      </c>
      <c r="C818" s="17" t="str">
        <f aca="false">IF(Transações!B818&lt;&gt;"",Transações!B818,"")</f>
        <v/>
      </c>
      <c r="D818" s="18" t="str">
        <f aca="false">IF(Transações!D818&lt;&gt;"",Transações!D818,"")</f>
        <v/>
      </c>
      <c r="E818" s="19" t="str">
        <f aca="false">IF(Transações!E818&lt;&gt;"",Transações!E818,"")</f>
        <v/>
      </c>
      <c r="F818" s="12" t="str">
        <f aca="false">IF(C818="Compra",D818*E818,IF(C818="Staking",D818*E818,""))</f>
        <v/>
      </c>
      <c r="G818" s="12" t="str">
        <f aca="false">IF(C818="Venda",IF(COUNTIF(A$3:A817,A818)&gt;0,(E818-SUMPRODUCT((A$3:A817=A818)*(C$3:C817="Compra")*F$3:F817)/IF(SUMPRODUCT((A$3:A817=A818)*(C$3:C817="Compra")*D$3:D817)=0,1,SUMPRODUCT((A$3:A817=A818)*(C$3:C817="Compra")*D$3:D817)))*D818,0),"")</f>
        <v/>
      </c>
      <c r="H818" s="12" t="str">
        <f aca="false">IF(C818="Venda",E818*D818,"")</f>
        <v/>
      </c>
    </row>
    <row r="819" customFormat="false" ht="15" hidden="false" customHeight="false" outlineLevel="0" collapsed="false">
      <c r="A819" s="14" t="str">
        <f aca="false">IF(Transações!C819&lt;&gt;"",Transações!C819,"")</f>
        <v/>
      </c>
      <c r="B819" s="14" t="str">
        <f aca="false">IF(Transações!A819&lt;&gt;"",Transações!A819,"")</f>
        <v/>
      </c>
      <c r="C819" s="14" t="str">
        <f aca="false">IF(Transações!B819&lt;&gt;"",Transações!B819,"")</f>
        <v/>
      </c>
      <c r="D819" s="15" t="str">
        <f aca="false">IF(Transações!D819&lt;&gt;"",Transações!D819,"")</f>
        <v/>
      </c>
      <c r="E819" s="16" t="str">
        <f aca="false">IF(Transações!E819&lt;&gt;"",Transações!E819,"")</f>
        <v/>
      </c>
      <c r="F819" s="7" t="str">
        <f aca="false">IF(C819="Compra",D819*E819,IF(C819="Staking",D819*E819,""))</f>
        <v/>
      </c>
      <c r="G819" s="7" t="str">
        <f aca="false">IF(C819="Venda",IF(COUNTIF(A$3:A818,A819)&gt;0,(E819-SUMPRODUCT((A$3:A818=A819)*(C$3:C818="Compra")*F$3:F818)/IF(SUMPRODUCT((A$3:A818=A819)*(C$3:C818="Compra")*D$3:D818)=0,1,SUMPRODUCT((A$3:A818=A819)*(C$3:C818="Compra")*D$3:D818)))*D819,0),"")</f>
        <v/>
      </c>
      <c r="H819" s="7" t="str">
        <f aca="false">IF(C819="Venda",E819*D819,"")</f>
        <v/>
      </c>
    </row>
    <row r="820" customFormat="false" ht="15" hidden="false" customHeight="false" outlineLevel="0" collapsed="false">
      <c r="A820" s="17" t="str">
        <f aca="false">IF(Transações!C820&lt;&gt;"",Transações!C820,"")</f>
        <v/>
      </c>
      <c r="B820" s="17" t="str">
        <f aca="false">IF(Transações!A820&lt;&gt;"",Transações!A820,"")</f>
        <v/>
      </c>
      <c r="C820" s="17" t="str">
        <f aca="false">IF(Transações!B820&lt;&gt;"",Transações!B820,"")</f>
        <v/>
      </c>
      <c r="D820" s="18" t="str">
        <f aca="false">IF(Transações!D820&lt;&gt;"",Transações!D820,"")</f>
        <v/>
      </c>
      <c r="E820" s="19" t="str">
        <f aca="false">IF(Transações!E820&lt;&gt;"",Transações!E820,"")</f>
        <v/>
      </c>
      <c r="F820" s="12" t="str">
        <f aca="false">IF(C820="Compra",D820*E820,IF(C820="Staking",D820*E820,""))</f>
        <v/>
      </c>
      <c r="G820" s="12" t="str">
        <f aca="false">IF(C820="Venda",IF(COUNTIF(A$3:A819,A820)&gt;0,(E820-SUMPRODUCT((A$3:A819=A820)*(C$3:C819="Compra")*F$3:F819)/IF(SUMPRODUCT((A$3:A819=A820)*(C$3:C819="Compra")*D$3:D819)=0,1,SUMPRODUCT((A$3:A819=A820)*(C$3:C819="Compra")*D$3:D819)))*D820,0),"")</f>
        <v/>
      </c>
      <c r="H820" s="12" t="str">
        <f aca="false">IF(C820="Venda",E820*D820,"")</f>
        <v/>
      </c>
    </row>
    <row r="821" customFormat="false" ht="15" hidden="false" customHeight="false" outlineLevel="0" collapsed="false">
      <c r="A821" s="14" t="str">
        <f aca="false">IF(Transações!C821&lt;&gt;"",Transações!C821,"")</f>
        <v/>
      </c>
      <c r="B821" s="14" t="str">
        <f aca="false">IF(Transações!A821&lt;&gt;"",Transações!A821,"")</f>
        <v/>
      </c>
      <c r="C821" s="14" t="str">
        <f aca="false">IF(Transações!B821&lt;&gt;"",Transações!B821,"")</f>
        <v/>
      </c>
      <c r="D821" s="15" t="str">
        <f aca="false">IF(Transações!D821&lt;&gt;"",Transações!D821,"")</f>
        <v/>
      </c>
      <c r="E821" s="16" t="str">
        <f aca="false">IF(Transações!E821&lt;&gt;"",Transações!E821,"")</f>
        <v/>
      </c>
      <c r="F821" s="7" t="str">
        <f aca="false">IF(C821="Compra",D821*E821,IF(C821="Staking",D821*E821,""))</f>
        <v/>
      </c>
      <c r="G821" s="7" t="str">
        <f aca="false">IF(C821="Venda",IF(COUNTIF(A$3:A820,A821)&gt;0,(E821-SUMPRODUCT((A$3:A820=A821)*(C$3:C820="Compra")*F$3:F820)/IF(SUMPRODUCT((A$3:A820=A821)*(C$3:C820="Compra")*D$3:D820)=0,1,SUMPRODUCT((A$3:A820=A821)*(C$3:C820="Compra")*D$3:D820)))*D821,0),"")</f>
        <v/>
      </c>
      <c r="H821" s="7" t="str">
        <f aca="false">IF(C821="Venda",E821*D821,"")</f>
        <v/>
      </c>
    </row>
    <row r="822" customFormat="false" ht="15" hidden="false" customHeight="false" outlineLevel="0" collapsed="false">
      <c r="A822" s="17" t="str">
        <f aca="false">IF(Transações!C822&lt;&gt;"",Transações!C822,"")</f>
        <v/>
      </c>
      <c r="B822" s="17" t="str">
        <f aca="false">IF(Transações!A822&lt;&gt;"",Transações!A822,"")</f>
        <v/>
      </c>
      <c r="C822" s="17" t="str">
        <f aca="false">IF(Transações!B822&lt;&gt;"",Transações!B822,"")</f>
        <v/>
      </c>
      <c r="D822" s="18" t="str">
        <f aca="false">IF(Transações!D822&lt;&gt;"",Transações!D822,"")</f>
        <v/>
      </c>
      <c r="E822" s="19" t="str">
        <f aca="false">IF(Transações!E822&lt;&gt;"",Transações!E822,"")</f>
        <v/>
      </c>
      <c r="F822" s="12" t="str">
        <f aca="false">IF(C822="Compra",D822*E822,IF(C822="Staking",D822*E822,""))</f>
        <v/>
      </c>
      <c r="G822" s="12" t="str">
        <f aca="false">IF(C822="Venda",IF(COUNTIF(A$3:A821,A822)&gt;0,(E822-SUMPRODUCT((A$3:A821=A822)*(C$3:C821="Compra")*F$3:F821)/IF(SUMPRODUCT((A$3:A821=A822)*(C$3:C821="Compra")*D$3:D821)=0,1,SUMPRODUCT((A$3:A821=A822)*(C$3:C821="Compra")*D$3:D821)))*D822,0),"")</f>
        <v/>
      </c>
      <c r="H822" s="12" t="str">
        <f aca="false">IF(C822="Venda",E822*D822,"")</f>
        <v/>
      </c>
    </row>
    <row r="823" customFormat="false" ht="15" hidden="false" customHeight="false" outlineLevel="0" collapsed="false">
      <c r="A823" s="14" t="str">
        <f aca="false">IF(Transações!C823&lt;&gt;"",Transações!C823,"")</f>
        <v/>
      </c>
      <c r="B823" s="14" t="str">
        <f aca="false">IF(Transações!A823&lt;&gt;"",Transações!A823,"")</f>
        <v/>
      </c>
      <c r="C823" s="14" t="str">
        <f aca="false">IF(Transações!B823&lt;&gt;"",Transações!B823,"")</f>
        <v/>
      </c>
      <c r="D823" s="15" t="str">
        <f aca="false">IF(Transações!D823&lt;&gt;"",Transações!D823,"")</f>
        <v/>
      </c>
      <c r="E823" s="16" t="str">
        <f aca="false">IF(Transações!E823&lt;&gt;"",Transações!E823,"")</f>
        <v/>
      </c>
      <c r="F823" s="7" t="str">
        <f aca="false">IF(C823="Compra",D823*E823,IF(C823="Staking",D823*E823,""))</f>
        <v/>
      </c>
      <c r="G823" s="7" t="str">
        <f aca="false">IF(C823="Venda",IF(COUNTIF(A$3:A822,A823)&gt;0,(E823-SUMPRODUCT((A$3:A822=A823)*(C$3:C822="Compra")*F$3:F822)/IF(SUMPRODUCT((A$3:A822=A823)*(C$3:C822="Compra")*D$3:D822)=0,1,SUMPRODUCT((A$3:A822=A823)*(C$3:C822="Compra")*D$3:D822)))*D823,0),"")</f>
        <v/>
      </c>
      <c r="H823" s="7" t="str">
        <f aca="false">IF(C823="Venda",E823*D823,"")</f>
        <v/>
      </c>
    </row>
    <row r="824" customFormat="false" ht="15" hidden="false" customHeight="false" outlineLevel="0" collapsed="false">
      <c r="A824" s="17" t="str">
        <f aca="false">IF(Transações!C824&lt;&gt;"",Transações!C824,"")</f>
        <v/>
      </c>
      <c r="B824" s="17" t="str">
        <f aca="false">IF(Transações!A824&lt;&gt;"",Transações!A824,"")</f>
        <v/>
      </c>
      <c r="C824" s="17" t="str">
        <f aca="false">IF(Transações!B824&lt;&gt;"",Transações!B824,"")</f>
        <v/>
      </c>
      <c r="D824" s="18" t="str">
        <f aca="false">IF(Transações!D824&lt;&gt;"",Transações!D824,"")</f>
        <v/>
      </c>
      <c r="E824" s="19" t="str">
        <f aca="false">IF(Transações!E824&lt;&gt;"",Transações!E824,"")</f>
        <v/>
      </c>
      <c r="F824" s="12" t="str">
        <f aca="false">IF(C824="Compra",D824*E824,IF(C824="Staking",D824*E824,""))</f>
        <v/>
      </c>
      <c r="G824" s="12" t="str">
        <f aca="false">IF(C824="Venda",IF(COUNTIF(A$3:A823,A824)&gt;0,(E824-SUMPRODUCT((A$3:A823=A824)*(C$3:C823="Compra")*F$3:F823)/IF(SUMPRODUCT((A$3:A823=A824)*(C$3:C823="Compra")*D$3:D823)=0,1,SUMPRODUCT((A$3:A823=A824)*(C$3:C823="Compra")*D$3:D823)))*D824,0),"")</f>
        <v/>
      </c>
      <c r="H824" s="12" t="str">
        <f aca="false">IF(C824="Venda",E824*D824,"")</f>
        <v/>
      </c>
    </row>
    <row r="825" customFormat="false" ht="15" hidden="false" customHeight="false" outlineLevel="0" collapsed="false">
      <c r="A825" s="14" t="str">
        <f aca="false">IF(Transações!C825&lt;&gt;"",Transações!C825,"")</f>
        <v/>
      </c>
      <c r="B825" s="14" t="str">
        <f aca="false">IF(Transações!A825&lt;&gt;"",Transações!A825,"")</f>
        <v/>
      </c>
      <c r="C825" s="14" t="str">
        <f aca="false">IF(Transações!B825&lt;&gt;"",Transações!B825,"")</f>
        <v/>
      </c>
      <c r="D825" s="15" t="str">
        <f aca="false">IF(Transações!D825&lt;&gt;"",Transações!D825,"")</f>
        <v/>
      </c>
      <c r="E825" s="16" t="str">
        <f aca="false">IF(Transações!E825&lt;&gt;"",Transações!E825,"")</f>
        <v/>
      </c>
      <c r="F825" s="7" t="str">
        <f aca="false">IF(C825="Compra",D825*E825,IF(C825="Staking",D825*E825,""))</f>
        <v/>
      </c>
      <c r="G825" s="7" t="str">
        <f aca="false">IF(C825="Venda",IF(COUNTIF(A$3:A824,A825)&gt;0,(E825-SUMPRODUCT((A$3:A824=A825)*(C$3:C824="Compra")*F$3:F824)/IF(SUMPRODUCT((A$3:A824=A825)*(C$3:C824="Compra")*D$3:D824)=0,1,SUMPRODUCT((A$3:A824=A825)*(C$3:C824="Compra")*D$3:D824)))*D825,0),"")</f>
        <v/>
      </c>
      <c r="H825" s="7" t="str">
        <f aca="false">IF(C825="Venda",E825*D825,"")</f>
        <v/>
      </c>
    </row>
    <row r="826" customFormat="false" ht="15" hidden="false" customHeight="false" outlineLevel="0" collapsed="false">
      <c r="A826" s="17" t="str">
        <f aca="false">IF(Transações!C826&lt;&gt;"",Transações!C826,"")</f>
        <v/>
      </c>
      <c r="B826" s="17" t="str">
        <f aca="false">IF(Transações!A826&lt;&gt;"",Transações!A826,"")</f>
        <v/>
      </c>
      <c r="C826" s="17" t="str">
        <f aca="false">IF(Transações!B826&lt;&gt;"",Transações!B826,"")</f>
        <v/>
      </c>
      <c r="D826" s="18" t="str">
        <f aca="false">IF(Transações!D826&lt;&gt;"",Transações!D826,"")</f>
        <v/>
      </c>
      <c r="E826" s="19" t="str">
        <f aca="false">IF(Transações!E826&lt;&gt;"",Transações!E826,"")</f>
        <v/>
      </c>
      <c r="F826" s="12" t="str">
        <f aca="false">IF(C826="Compra",D826*E826,IF(C826="Staking",D826*E826,""))</f>
        <v/>
      </c>
      <c r="G826" s="12" t="str">
        <f aca="false">IF(C826="Venda",IF(COUNTIF(A$3:A825,A826)&gt;0,(E826-SUMPRODUCT((A$3:A825=A826)*(C$3:C825="Compra")*F$3:F825)/IF(SUMPRODUCT((A$3:A825=A826)*(C$3:C825="Compra")*D$3:D825)=0,1,SUMPRODUCT((A$3:A825=A826)*(C$3:C825="Compra")*D$3:D825)))*D826,0),"")</f>
        <v/>
      </c>
      <c r="H826" s="12" t="str">
        <f aca="false">IF(C826="Venda",E826*D826,"")</f>
        <v/>
      </c>
    </row>
    <row r="827" customFormat="false" ht="15" hidden="false" customHeight="false" outlineLevel="0" collapsed="false">
      <c r="A827" s="14" t="str">
        <f aca="false">IF(Transações!C827&lt;&gt;"",Transações!C827,"")</f>
        <v/>
      </c>
      <c r="B827" s="14" t="str">
        <f aca="false">IF(Transações!A827&lt;&gt;"",Transações!A827,"")</f>
        <v/>
      </c>
      <c r="C827" s="14" t="str">
        <f aca="false">IF(Transações!B827&lt;&gt;"",Transações!B827,"")</f>
        <v/>
      </c>
      <c r="D827" s="15" t="str">
        <f aca="false">IF(Transações!D827&lt;&gt;"",Transações!D827,"")</f>
        <v/>
      </c>
      <c r="E827" s="16" t="str">
        <f aca="false">IF(Transações!E827&lt;&gt;"",Transações!E827,"")</f>
        <v/>
      </c>
      <c r="F827" s="7" t="str">
        <f aca="false">IF(C827="Compra",D827*E827,IF(C827="Staking",D827*E827,""))</f>
        <v/>
      </c>
      <c r="G827" s="7" t="str">
        <f aca="false">IF(C827="Venda",IF(COUNTIF(A$3:A826,A827)&gt;0,(E827-SUMPRODUCT((A$3:A826=A827)*(C$3:C826="Compra")*F$3:F826)/IF(SUMPRODUCT((A$3:A826=A827)*(C$3:C826="Compra")*D$3:D826)=0,1,SUMPRODUCT((A$3:A826=A827)*(C$3:C826="Compra")*D$3:D826)))*D827,0),"")</f>
        <v/>
      </c>
      <c r="H827" s="7" t="str">
        <f aca="false">IF(C827="Venda",E827*D827,"")</f>
        <v/>
      </c>
    </row>
    <row r="828" customFormat="false" ht="15" hidden="false" customHeight="false" outlineLevel="0" collapsed="false">
      <c r="A828" s="17" t="str">
        <f aca="false">IF(Transações!C828&lt;&gt;"",Transações!C828,"")</f>
        <v/>
      </c>
      <c r="B828" s="17" t="str">
        <f aca="false">IF(Transações!A828&lt;&gt;"",Transações!A828,"")</f>
        <v/>
      </c>
      <c r="C828" s="17" t="str">
        <f aca="false">IF(Transações!B828&lt;&gt;"",Transações!B828,"")</f>
        <v/>
      </c>
      <c r="D828" s="18" t="str">
        <f aca="false">IF(Transações!D828&lt;&gt;"",Transações!D828,"")</f>
        <v/>
      </c>
      <c r="E828" s="19" t="str">
        <f aca="false">IF(Transações!E828&lt;&gt;"",Transações!E828,"")</f>
        <v/>
      </c>
      <c r="F828" s="12" t="str">
        <f aca="false">IF(C828="Compra",D828*E828,IF(C828="Staking",D828*E828,""))</f>
        <v/>
      </c>
      <c r="G828" s="12" t="str">
        <f aca="false">IF(C828="Venda",IF(COUNTIF(A$3:A827,A828)&gt;0,(E828-SUMPRODUCT((A$3:A827=A828)*(C$3:C827="Compra")*F$3:F827)/IF(SUMPRODUCT((A$3:A827=A828)*(C$3:C827="Compra")*D$3:D827)=0,1,SUMPRODUCT((A$3:A827=A828)*(C$3:C827="Compra")*D$3:D827)))*D828,0),"")</f>
        <v/>
      </c>
      <c r="H828" s="12" t="str">
        <f aca="false">IF(C828="Venda",E828*D828,"")</f>
        <v/>
      </c>
    </row>
    <row r="829" customFormat="false" ht="15" hidden="false" customHeight="false" outlineLevel="0" collapsed="false">
      <c r="A829" s="14" t="str">
        <f aca="false">IF(Transações!C829&lt;&gt;"",Transações!C829,"")</f>
        <v/>
      </c>
      <c r="B829" s="14" t="str">
        <f aca="false">IF(Transações!A829&lt;&gt;"",Transações!A829,"")</f>
        <v/>
      </c>
      <c r="C829" s="14" t="str">
        <f aca="false">IF(Transações!B829&lt;&gt;"",Transações!B829,"")</f>
        <v/>
      </c>
      <c r="D829" s="15" t="str">
        <f aca="false">IF(Transações!D829&lt;&gt;"",Transações!D829,"")</f>
        <v/>
      </c>
      <c r="E829" s="16" t="str">
        <f aca="false">IF(Transações!E829&lt;&gt;"",Transações!E829,"")</f>
        <v/>
      </c>
      <c r="F829" s="7" t="str">
        <f aca="false">IF(C829="Compra",D829*E829,IF(C829="Staking",D829*E829,""))</f>
        <v/>
      </c>
      <c r="G829" s="7" t="str">
        <f aca="false">IF(C829="Venda",IF(COUNTIF(A$3:A828,A829)&gt;0,(E829-SUMPRODUCT((A$3:A828=A829)*(C$3:C828="Compra")*F$3:F828)/IF(SUMPRODUCT((A$3:A828=A829)*(C$3:C828="Compra")*D$3:D828)=0,1,SUMPRODUCT((A$3:A828=A829)*(C$3:C828="Compra")*D$3:D828)))*D829,0),"")</f>
        <v/>
      </c>
      <c r="H829" s="7" t="str">
        <f aca="false">IF(C829="Venda",E829*D829,"")</f>
        <v/>
      </c>
    </row>
    <row r="830" customFormat="false" ht="15" hidden="false" customHeight="false" outlineLevel="0" collapsed="false">
      <c r="A830" s="17" t="str">
        <f aca="false">IF(Transações!C830&lt;&gt;"",Transações!C830,"")</f>
        <v/>
      </c>
      <c r="B830" s="17" t="str">
        <f aca="false">IF(Transações!A830&lt;&gt;"",Transações!A830,"")</f>
        <v/>
      </c>
      <c r="C830" s="17" t="str">
        <f aca="false">IF(Transações!B830&lt;&gt;"",Transações!B830,"")</f>
        <v/>
      </c>
      <c r="D830" s="18" t="str">
        <f aca="false">IF(Transações!D830&lt;&gt;"",Transações!D830,"")</f>
        <v/>
      </c>
      <c r="E830" s="19" t="str">
        <f aca="false">IF(Transações!E830&lt;&gt;"",Transações!E830,"")</f>
        <v/>
      </c>
      <c r="F830" s="12" t="str">
        <f aca="false">IF(C830="Compra",D830*E830,IF(C830="Staking",D830*E830,""))</f>
        <v/>
      </c>
      <c r="G830" s="12" t="str">
        <f aca="false">IF(C830="Venda",IF(COUNTIF(A$3:A829,A830)&gt;0,(E830-SUMPRODUCT((A$3:A829=A830)*(C$3:C829="Compra")*F$3:F829)/IF(SUMPRODUCT((A$3:A829=A830)*(C$3:C829="Compra")*D$3:D829)=0,1,SUMPRODUCT((A$3:A829=A830)*(C$3:C829="Compra")*D$3:D829)))*D830,0),"")</f>
        <v/>
      </c>
      <c r="H830" s="12" t="str">
        <f aca="false">IF(C830="Venda",E830*D830,"")</f>
        <v/>
      </c>
    </row>
    <row r="831" customFormat="false" ht="15" hidden="false" customHeight="false" outlineLevel="0" collapsed="false">
      <c r="A831" s="14" t="str">
        <f aca="false">IF(Transações!C831&lt;&gt;"",Transações!C831,"")</f>
        <v/>
      </c>
      <c r="B831" s="14" t="str">
        <f aca="false">IF(Transações!A831&lt;&gt;"",Transações!A831,"")</f>
        <v/>
      </c>
      <c r="C831" s="14" t="str">
        <f aca="false">IF(Transações!B831&lt;&gt;"",Transações!B831,"")</f>
        <v/>
      </c>
      <c r="D831" s="15" t="str">
        <f aca="false">IF(Transações!D831&lt;&gt;"",Transações!D831,"")</f>
        <v/>
      </c>
      <c r="E831" s="16" t="str">
        <f aca="false">IF(Transações!E831&lt;&gt;"",Transações!E831,"")</f>
        <v/>
      </c>
      <c r="F831" s="7" t="str">
        <f aca="false">IF(C831="Compra",D831*E831,IF(C831="Staking",D831*E831,""))</f>
        <v/>
      </c>
      <c r="G831" s="7" t="str">
        <f aca="false">IF(C831="Venda",IF(COUNTIF(A$3:A830,A831)&gt;0,(E831-SUMPRODUCT((A$3:A830=A831)*(C$3:C830="Compra")*F$3:F830)/IF(SUMPRODUCT((A$3:A830=A831)*(C$3:C830="Compra")*D$3:D830)=0,1,SUMPRODUCT((A$3:A830=A831)*(C$3:C830="Compra")*D$3:D830)))*D831,0),"")</f>
        <v/>
      </c>
      <c r="H831" s="7" t="str">
        <f aca="false">IF(C831="Venda",E831*D831,"")</f>
        <v/>
      </c>
    </row>
    <row r="832" customFormat="false" ht="15" hidden="false" customHeight="false" outlineLevel="0" collapsed="false">
      <c r="A832" s="17" t="str">
        <f aca="false">IF(Transações!C832&lt;&gt;"",Transações!C832,"")</f>
        <v/>
      </c>
      <c r="B832" s="17" t="str">
        <f aca="false">IF(Transações!A832&lt;&gt;"",Transações!A832,"")</f>
        <v/>
      </c>
      <c r="C832" s="17" t="str">
        <f aca="false">IF(Transações!B832&lt;&gt;"",Transações!B832,"")</f>
        <v/>
      </c>
      <c r="D832" s="18" t="str">
        <f aca="false">IF(Transações!D832&lt;&gt;"",Transações!D832,"")</f>
        <v/>
      </c>
      <c r="E832" s="19" t="str">
        <f aca="false">IF(Transações!E832&lt;&gt;"",Transações!E832,"")</f>
        <v/>
      </c>
      <c r="F832" s="12" t="str">
        <f aca="false">IF(C832="Compra",D832*E832,IF(C832="Staking",D832*E832,""))</f>
        <v/>
      </c>
      <c r="G832" s="12" t="str">
        <f aca="false">IF(C832="Venda",IF(COUNTIF(A$3:A831,A832)&gt;0,(E832-SUMPRODUCT((A$3:A831=A832)*(C$3:C831="Compra")*F$3:F831)/IF(SUMPRODUCT((A$3:A831=A832)*(C$3:C831="Compra")*D$3:D831)=0,1,SUMPRODUCT((A$3:A831=A832)*(C$3:C831="Compra")*D$3:D831)))*D832,0),"")</f>
        <v/>
      </c>
      <c r="H832" s="12" t="str">
        <f aca="false">IF(C832="Venda",E832*D832,"")</f>
        <v/>
      </c>
    </row>
    <row r="833" customFormat="false" ht="15" hidden="false" customHeight="false" outlineLevel="0" collapsed="false">
      <c r="A833" s="14" t="str">
        <f aca="false">IF(Transações!C833&lt;&gt;"",Transações!C833,"")</f>
        <v/>
      </c>
      <c r="B833" s="14" t="str">
        <f aca="false">IF(Transações!A833&lt;&gt;"",Transações!A833,"")</f>
        <v/>
      </c>
      <c r="C833" s="14" t="str">
        <f aca="false">IF(Transações!B833&lt;&gt;"",Transações!B833,"")</f>
        <v/>
      </c>
      <c r="D833" s="15" t="str">
        <f aca="false">IF(Transações!D833&lt;&gt;"",Transações!D833,"")</f>
        <v/>
      </c>
      <c r="E833" s="16" t="str">
        <f aca="false">IF(Transações!E833&lt;&gt;"",Transações!E833,"")</f>
        <v/>
      </c>
      <c r="F833" s="7" t="str">
        <f aca="false">IF(C833="Compra",D833*E833,IF(C833="Staking",D833*E833,""))</f>
        <v/>
      </c>
      <c r="G833" s="7" t="str">
        <f aca="false">IF(C833="Venda",IF(COUNTIF(A$3:A832,A833)&gt;0,(E833-SUMPRODUCT((A$3:A832=A833)*(C$3:C832="Compra")*F$3:F832)/IF(SUMPRODUCT((A$3:A832=A833)*(C$3:C832="Compra")*D$3:D832)=0,1,SUMPRODUCT((A$3:A832=A833)*(C$3:C832="Compra")*D$3:D832)))*D833,0),"")</f>
        <v/>
      </c>
      <c r="H833" s="7" t="str">
        <f aca="false">IF(C833="Venda",E833*D833,"")</f>
        <v/>
      </c>
    </row>
    <row r="834" customFormat="false" ht="15" hidden="false" customHeight="false" outlineLevel="0" collapsed="false">
      <c r="A834" s="17" t="str">
        <f aca="false">IF(Transações!C834&lt;&gt;"",Transações!C834,"")</f>
        <v/>
      </c>
      <c r="B834" s="17" t="str">
        <f aca="false">IF(Transações!A834&lt;&gt;"",Transações!A834,"")</f>
        <v/>
      </c>
      <c r="C834" s="17" t="str">
        <f aca="false">IF(Transações!B834&lt;&gt;"",Transações!B834,"")</f>
        <v/>
      </c>
      <c r="D834" s="18" t="str">
        <f aca="false">IF(Transações!D834&lt;&gt;"",Transações!D834,"")</f>
        <v/>
      </c>
      <c r="E834" s="19" t="str">
        <f aca="false">IF(Transações!E834&lt;&gt;"",Transações!E834,"")</f>
        <v/>
      </c>
      <c r="F834" s="12" t="str">
        <f aca="false">IF(C834="Compra",D834*E834,IF(C834="Staking",D834*E834,""))</f>
        <v/>
      </c>
      <c r="G834" s="12" t="str">
        <f aca="false">IF(C834="Venda",IF(COUNTIF(A$3:A833,A834)&gt;0,(E834-SUMPRODUCT((A$3:A833=A834)*(C$3:C833="Compra")*F$3:F833)/IF(SUMPRODUCT((A$3:A833=A834)*(C$3:C833="Compra")*D$3:D833)=0,1,SUMPRODUCT((A$3:A833=A834)*(C$3:C833="Compra")*D$3:D833)))*D834,0),"")</f>
        <v/>
      </c>
      <c r="H834" s="12" t="str">
        <f aca="false">IF(C834="Venda",E834*D834,"")</f>
        <v/>
      </c>
    </row>
    <row r="835" customFormat="false" ht="15" hidden="false" customHeight="false" outlineLevel="0" collapsed="false">
      <c r="A835" s="14" t="str">
        <f aca="false">IF(Transações!C835&lt;&gt;"",Transações!C835,"")</f>
        <v/>
      </c>
      <c r="B835" s="14" t="str">
        <f aca="false">IF(Transações!A835&lt;&gt;"",Transações!A835,"")</f>
        <v/>
      </c>
      <c r="C835" s="14" t="str">
        <f aca="false">IF(Transações!B835&lt;&gt;"",Transações!B835,"")</f>
        <v/>
      </c>
      <c r="D835" s="15" t="str">
        <f aca="false">IF(Transações!D835&lt;&gt;"",Transações!D835,"")</f>
        <v/>
      </c>
      <c r="E835" s="16" t="str">
        <f aca="false">IF(Transações!E835&lt;&gt;"",Transações!E835,"")</f>
        <v/>
      </c>
      <c r="F835" s="7" t="str">
        <f aca="false">IF(C835="Compra",D835*E835,IF(C835="Staking",D835*E835,""))</f>
        <v/>
      </c>
      <c r="G835" s="7" t="str">
        <f aca="false">IF(C835="Venda",IF(COUNTIF(A$3:A834,A835)&gt;0,(E835-SUMPRODUCT((A$3:A834=A835)*(C$3:C834="Compra")*F$3:F834)/IF(SUMPRODUCT((A$3:A834=A835)*(C$3:C834="Compra")*D$3:D834)=0,1,SUMPRODUCT((A$3:A834=A835)*(C$3:C834="Compra")*D$3:D834)))*D835,0),"")</f>
        <v/>
      </c>
      <c r="H835" s="7" t="str">
        <f aca="false">IF(C835="Venda",E835*D835,"")</f>
        <v/>
      </c>
    </row>
    <row r="836" customFormat="false" ht="15" hidden="false" customHeight="false" outlineLevel="0" collapsed="false">
      <c r="A836" s="17" t="str">
        <f aca="false">IF(Transações!C836&lt;&gt;"",Transações!C836,"")</f>
        <v/>
      </c>
      <c r="B836" s="17" t="str">
        <f aca="false">IF(Transações!A836&lt;&gt;"",Transações!A836,"")</f>
        <v/>
      </c>
      <c r="C836" s="17" t="str">
        <f aca="false">IF(Transações!B836&lt;&gt;"",Transações!B836,"")</f>
        <v/>
      </c>
      <c r="D836" s="18" t="str">
        <f aca="false">IF(Transações!D836&lt;&gt;"",Transações!D836,"")</f>
        <v/>
      </c>
      <c r="E836" s="19" t="str">
        <f aca="false">IF(Transações!E836&lt;&gt;"",Transações!E836,"")</f>
        <v/>
      </c>
      <c r="F836" s="12" t="str">
        <f aca="false">IF(C836="Compra",D836*E836,IF(C836="Staking",D836*E836,""))</f>
        <v/>
      </c>
      <c r="G836" s="12" t="str">
        <f aca="false">IF(C836="Venda",IF(COUNTIF(A$3:A835,A836)&gt;0,(E836-SUMPRODUCT((A$3:A835=A836)*(C$3:C835="Compra")*F$3:F835)/IF(SUMPRODUCT((A$3:A835=A836)*(C$3:C835="Compra")*D$3:D835)=0,1,SUMPRODUCT((A$3:A835=A836)*(C$3:C835="Compra")*D$3:D835)))*D836,0),"")</f>
        <v/>
      </c>
      <c r="H836" s="12" t="str">
        <f aca="false">IF(C836="Venda",E836*D836,"")</f>
        <v/>
      </c>
    </row>
    <row r="837" customFormat="false" ht="15" hidden="false" customHeight="false" outlineLevel="0" collapsed="false">
      <c r="A837" s="14" t="str">
        <f aca="false">IF(Transações!C837&lt;&gt;"",Transações!C837,"")</f>
        <v/>
      </c>
      <c r="B837" s="14" t="str">
        <f aca="false">IF(Transações!A837&lt;&gt;"",Transações!A837,"")</f>
        <v/>
      </c>
      <c r="C837" s="14" t="str">
        <f aca="false">IF(Transações!B837&lt;&gt;"",Transações!B837,"")</f>
        <v/>
      </c>
      <c r="D837" s="15" t="str">
        <f aca="false">IF(Transações!D837&lt;&gt;"",Transações!D837,"")</f>
        <v/>
      </c>
      <c r="E837" s="16" t="str">
        <f aca="false">IF(Transações!E837&lt;&gt;"",Transações!E837,"")</f>
        <v/>
      </c>
      <c r="F837" s="7" t="str">
        <f aca="false">IF(C837="Compra",D837*E837,IF(C837="Staking",D837*E837,""))</f>
        <v/>
      </c>
      <c r="G837" s="7" t="str">
        <f aca="false">IF(C837="Venda",IF(COUNTIF(A$3:A836,A837)&gt;0,(E837-SUMPRODUCT((A$3:A836=A837)*(C$3:C836="Compra")*F$3:F836)/IF(SUMPRODUCT((A$3:A836=A837)*(C$3:C836="Compra")*D$3:D836)=0,1,SUMPRODUCT((A$3:A836=A837)*(C$3:C836="Compra")*D$3:D836)))*D837,0),"")</f>
        <v/>
      </c>
      <c r="H837" s="7" t="str">
        <f aca="false">IF(C837="Venda",E837*D837,"")</f>
        <v/>
      </c>
    </row>
    <row r="838" customFormat="false" ht="15" hidden="false" customHeight="false" outlineLevel="0" collapsed="false">
      <c r="A838" s="17" t="str">
        <f aca="false">IF(Transações!C838&lt;&gt;"",Transações!C838,"")</f>
        <v/>
      </c>
      <c r="B838" s="17" t="str">
        <f aca="false">IF(Transações!A838&lt;&gt;"",Transações!A838,"")</f>
        <v/>
      </c>
      <c r="C838" s="17" t="str">
        <f aca="false">IF(Transações!B838&lt;&gt;"",Transações!B838,"")</f>
        <v/>
      </c>
      <c r="D838" s="18" t="str">
        <f aca="false">IF(Transações!D838&lt;&gt;"",Transações!D838,"")</f>
        <v/>
      </c>
      <c r="E838" s="19" t="str">
        <f aca="false">IF(Transações!E838&lt;&gt;"",Transações!E838,"")</f>
        <v/>
      </c>
      <c r="F838" s="12" t="str">
        <f aca="false">IF(C838="Compra",D838*E838,IF(C838="Staking",D838*E838,""))</f>
        <v/>
      </c>
      <c r="G838" s="12" t="str">
        <f aca="false">IF(C838="Venda",IF(COUNTIF(A$3:A837,A838)&gt;0,(E838-SUMPRODUCT((A$3:A837=A838)*(C$3:C837="Compra")*F$3:F837)/IF(SUMPRODUCT((A$3:A837=A838)*(C$3:C837="Compra")*D$3:D837)=0,1,SUMPRODUCT((A$3:A837=A838)*(C$3:C837="Compra")*D$3:D837)))*D838,0),"")</f>
        <v/>
      </c>
      <c r="H838" s="12" t="str">
        <f aca="false">IF(C838="Venda",E838*D838,"")</f>
        <v/>
      </c>
    </row>
    <row r="839" customFormat="false" ht="15" hidden="false" customHeight="false" outlineLevel="0" collapsed="false">
      <c r="A839" s="14" t="str">
        <f aca="false">IF(Transações!C839&lt;&gt;"",Transações!C839,"")</f>
        <v/>
      </c>
      <c r="B839" s="14" t="str">
        <f aca="false">IF(Transações!A839&lt;&gt;"",Transações!A839,"")</f>
        <v/>
      </c>
      <c r="C839" s="14" t="str">
        <f aca="false">IF(Transações!B839&lt;&gt;"",Transações!B839,"")</f>
        <v/>
      </c>
      <c r="D839" s="15" t="str">
        <f aca="false">IF(Transações!D839&lt;&gt;"",Transações!D839,"")</f>
        <v/>
      </c>
      <c r="E839" s="16" t="str">
        <f aca="false">IF(Transações!E839&lt;&gt;"",Transações!E839,"")</f>
        <v/>
      </c>
      <c r="F839" s="7" t="str">
        <f aca="false">IF(C839="Compra",D839*E839,IF(C839="Staking",D839*E839,""))</f>
        <v/>
      </c>
      <c r="G839" s="7" t="str">
        <f aca="false">IF(C839="Venda",IF(COUNTIF(A$3:A838,A839)&gt;0,(E839-SUMPRODUCT((A$3:A838=A839)*(C$3:C838="Compra")*F$3:F838)/IF(SUMPRODUCT((A$3:A838=A839)*(C$3:C838="Compra")*D$3:D838)=0,1,SUMPRODUCT((A$3:A838=A839)*(C$3:C838="Compra")*D$3:D838)))*D839,0),"")</f>
        <v/>
      </c>
      <c r="H839" s="7" t="str">
        <f aca="false">IF(C839="Venda",E839*D839,"")</f>
        <v/>
      </c>
    </row>
    <row r="840" customFormat="false" ht="15" hidden="false" customHeight="false" outlineLevel="0" collapsed="false">
      <c r="A840" s="17" t="str">
        <f aca="false">IF(Transações!C840&lt;&gt;"",Transações!C840,"")</f>
        <v/>
      </c>
      <c r="B840" s="17" t="str">
        <f aca="false">IF(Transações!A840&lt;&gt;"",Transações!A840,"")</f>
        <v/>
      </c>
      <c r="C840" s="17" t="str">
        <f aca="false">IF(Transações!B840&lt;&gt;"",Transações!B840,"")</f>
        <v/>
      </c>
      <c r="D840" s="18" t="str">
        <f aca="false">IF(Transações!D840&lt;&gt;"",Transações!D840,"")</f>
        <v/>
      </c>
      <c r="E840" s="19" t="str">
        <f aca="false">IF(Transações!E840&lt;&gt;"",Transações!E840,"")</f>
        <v/>
      </c>
      <c r="F840" s="12" t="str">
        <f aca="false">IF(C840="Compra",D840*E840,IF(C840="Staking",D840*E840,""))</f>
        <v/>
      </c>
      <c r="G840" s="12" t="str">
        <f aca="false">IF(C840="Venda",IF(COUNTIF(A$3:A839,A840)&gt;0,(E840-SUMPRODUCT((A$3:A839=A840)*(C$3:C839="Compra")*F$3:F839)/IF(SUMPRODUCT((A$3:A839=A840)*(C$3:C839="Compra")*D$3:D839)=0,1,SUMPRODUCT((A$3:A839=A840)*(C$3:C839="Compra")*D$3:D839)))*D840,0),"")</f>
        <v/>
      </c>
      <c r="H840" s="12" t="str">
        <f aca="false">IF(C840="Venda",E840*D840,"")</f>
        <v/>
      </c>
    </row>
    <row r="841" customFormat="false" ht="15" hidden="false" customHeight="false" outlineLevel="0" collapsed="false">
      <c r="A841" s="14" t="str">
        <f aca="false">IF(Transações!C841&lt;&gt;"",Transações!C841,"")</f>
        <v/>
      </c>
      <c r="B841" s="14" t="str">
        <f aca="false">IF(Transações!A841&lt;&gt;"",Transações!A841,"")</f>
        <v/>
      </c>
      <c r="C841" s="14" t="str">
        <f aca="false">IF(Transações!B841&lt;&gt;"",Transações!B841,"")</f>
        <v/>
      </c>
      <c r="D841" s="15" t="str">
        <f aca="false">IF(Transações!D841&lt;&gt;"",Transações!D841,"")</f>
        <v/>
      </c>
      <c r="E841" s="16" t="str">
        <f aca="false">IF(Transações!E841&lt;&gt;"",Transações!E841,"")</f>
        <v/>
      </c>
      <c r="F841" s="7" t="str">
        <f aca="false">IF(C841="Compra",D841*E841,IF(C841="Staking",D841*E841,""))</f>
        <v/>
      </c>
      <c r="G841" s="7" t="str">
        <f aca="false">IF(C841="Venda",IF(COUNTIF(A$3:A840,A841)&gt;0,(E841-SUMPRODUCT((A$3:A840=A841)*(C$3:C840="Compra")*F$3:F840)/IF(SUMPRODUCT((A$3:A840=A841)*(C$3:C840="Compra")*D$3:D840)=0,1,SUMPRODUCT((A$3:A840=A841)*(C$3:C840="Compra")*D$3:D840)))*D841,0),"")</f>
        <v/>
      </c>
      <c r="H841" s="7" t="str">
        <f aca="false">IF(C841="Venda",E841*D841,"")</f>
        <v/>
      </c>
    </row>
    <row r="842" customFormat="false" ht="15" hidden="false" customHeight="false" outlineLevel="0" collapsed="false">
      <c r="A842" s="17" t="str">
        <f aca="false">IF(Transações!C842&lt;&gt;"",Transações!C842,"")</f>
        <v/>
      </c>
      <c r="B842" s="17" t="str">
        <f aca="false">IF(Transações!A842&lt;&gt;"",Transações!A842,"")</f>
        <v/>
      </c>
      <c r="C842" s="17" t="str">
        <f aca="false">IF(Transações!B842&lt;&gt;"",Transações!B842,"")</f>
        <v/>
      </c>
      <c r="D842" s="18" t="str">
        <f aca="false">IF(Transações!D842&lt;&gt;"",Transações!D842,"")</f>
        <v/>
      </c>
      <c r="E842" s="19" t="str">
        <f aca="false">IF(Transações!E842&lt;&gt;"",Transações!E842,"")</f>
        <v/>
      </c>
      <c r="F842" s="12" t="str">
        <f aca="false">IF(C842="Compra",D842*E842,IF(C842="Staking",D842*E842,""))</f>
        <v/>
      </c>
      <c r="G842" s="12" t="str">
        <f aca="false">IF(C842="Venda",IF(COUNTIF(A$3:A841,A842)&gt;0,(E842-SUMPRODUCT((A$3:A841=A842)*(C$3:C841="Compra")*F$3:F841)/IF(SUMPRODUCT((A$3:A841=A842)*(C$3:C841="Compra")*D$3:D841)=0,1,SUMPRODUCT((A$3:A841=A842)*(C$3:C841="Compra")*D$3:D841)))*D842,0),"")</f>
        <v/>
      </c>
      <c r="H842" s="12" t="str">
        <f aca="false">IF(C842="Venda",E842*D842,"")</f>
        <v/>
      </c>
    </row>
    <row r="843" customFormat="false" ht="15" hidden="false" customHeight="false" outlineLevel="0" collapsed="false">
      <c r="A843" s="14" t="str">
        <f aca="false">IF(Transações!C843&lt;&gt;"",Transações!C843,"")</f>
        <v/>
      </c>
      <c r="B843" s="14" t="str">
        <f aca="false">IF(Transações!A843&lt;&gt;"",Transações!A843,"")</f>
        <v/>
      </c>
      <c r="C843" s="14" t="str">
        <f aca="false">IF(Transações!B843&lt;&gt;"",Transações!B843,"")</f>
        <v/>
      </c>
      <c r="D843" s="15" t="str">
        <f aca="false">IF(Transações!D843&lt;&gt;"",Transações!D843,"")</f>
        <v/>
      </c>
      <c r="E843" s="16" t="str">
        <f aca="false">IF(Transações!E843&lt;&gt;"",Transações!E843,"")</f>
        <v/>
      </c>
      <c r="F843" s="7" t="str">
        <f aca="false">IF(C843="Compra",D843*E843,IF(C843="Staking",D843*E843,""))</f>
        <v/>
      </c>
      <c r="G843" s="7" t="str">
        <f aca="false">IF(C843="Venda",IF(COUNTIF(A$3:A842,A843)&gt;0,(E843-SUMPRODUCT((A$3:A842=A843)*(C$3:C842="Compra")*F$3:F842)/IF(SUMPRODUCT((A$3:A842=A843)*(C$3:C842="Compra")*D$3:D842)=0,1,SUMPRODUCT((A$3:A842=A843)*(C$3:C842="Compra")*D$3:D842)))*D843,0),"")</f>
        <v/>
      </c>
      <c r="H843" s="7" t="str">
        <f aca="false">IF(C843="Venda",E843*D843,"")</f>
        <v/>
      </c>
    </row>
    <row r="844" customFormat="false" ht="15" hidden="false" customHeight="false" outlineLevel="0" collapsed="false">
      <c r="A844" s="17" t="str">
        <f aca="false">IF(Transações!C844&lt;&gt;"",Transações!C844,"")</f>
        <v/>
      </c>
      <c r="B844" s="17" t="str">
        <f aca="false">IF(Transações!A844&lt;&gt;"",Transações!A844,"")</f>
        <v/>
      </c>
      <c r="C844" s="17" t="str">
        <f aca="false">IF(Transações!B844&lt;&gt;"",Transações!B844,"")</f>
        <v/>
      </c>
      <c r="D844" s="18" t="str">
        <f aca="false">IF(Transações!D844&lt;&gt;"",Transações!D844,"")</f>
        <v/>
      </c>
      <c r="E844" s="19" t="str">
        <f aca="false">IF(Transações!E844&lt;&gt;"",Transações!E844,"")</f>
        <v/>
      </c>
      <c r="F844" s="12" t="str">
        <f aca="false">IF(C844="Compra",D844*E844,IF(C844="Staking",D844*E844,""))</f>
        <v/>
      </c>
      <c r="G844" s="12" t="str">
        <f aca="false">IF(C844="Venda",IF(COUNTIF(A$3:A843,A844)&gt;0,(E844-SUMPRODUCT((A$3:A843=A844)*(C$3:C843="Compra")*F$3:F843)/IF(SUMPRODUCT((A$3:A843=A844)*(C$3:C843="Compra")*D$3:D843)=0,1,SUMPRODUCT((A$3:A843=A844)*(C$3:C843="Compra")*D$3:D843)))*D844,0),"")</f>
        <v/>
      </c>
      <c r="H844" s="12" t="str">
        <f aca="false">IF(C844="Venda",E844*D844,"")</f>
        <v/>
      </c>
    </row>
    <row r="845" customFormat="false" ht="15" hidden="false" customHeight="false" outlineLevel="0" collapsed="false">
      <c r="A845" s="14" t="str">
        <f aca="false">IF(Transações!C845&lt;&gt;"",Transações!C845,"")</f>
        <v/>
      </c>
      <c r="B845" s="14" t="str">
        <f aca="false">IF(Transações!A845&lt;&gt;"",Transações!A845,"")</f>
        <v/>
      </c>
      <c r="C845" s="14" t="str">
        <f aca="false">IF(Transações!B845&lt;&gt;"",Transações!B845,"")</f>
        <v/>
      </c>
      <c r="D845" s="15" t="str">
        <f aca="false">IF(Transações!D845&lt;&gt;"",Transações!D845,"")</f>
        <v/>
      </c>
      <c r="E845" s="16" t="str">
        <f aca="false">IF(Transações!E845&lt;&gt;"",Transações!E845,"")</f>
        <v/>
      </c>
      <c r="F845" s="7" t="str">
        <f aca="false">IF(C845="Compra",D845*E845,IF(C845="Staking",D845*E845,""))</f>
        <v/>
      </c>
      <c r="G845" s="7" t="str">
        <f aca="false">IF(C845="Venda",IF(COUNTIF(A$3:A844,A845)&gt;0,(E845-SUMPRODUCT((A$3:A844=A845)*(C$3:C844="Compra")*F$3:F844)/IF(SUMPRODUCT((A$3:A844=A845)*(C$3:C844="Compra")*D$3:D844)=0,1,SUMPRODUCT((A$3:A844=A845)*(C$3:C844="Compra")*D$3:D844)))*D845,0),"")</f>
        <v/>
      </c>
      <c r="H845" s="7" t="str">
        <f aca="false">IF(C845="Venda",E845*D845,"")</f>
        <v/>
      </c>
    </row>
    <row r="846" customFormat="false" ht="15" hidden="false" customHeight="false" outlineLevel="0" collapsed="false">
      <c r="A846" s="17" t="str">
        <f aca="false">IF(Transações!C846&lt;&gt;"",Transações!C846,"")</f>
        <v/>
      </c>
      <c r="B846" s="17" t="str">
        <f aca="false">IF(Transações!A846&lt;&gt;"",Transações!A846,"")</f>
        <v/>
      </c>
      <c r="C846" s="17" t="str">
        <f aca="false">IF(Transações!B846&lt;&gt;"",Transações!B846,"")</f>
        <v/>
      </c>
      <c r="D846" s="18" t="str">
        <f aca="false">IF(Transações!D846&lt;&gt;"",Transações!D846,"")</f>
        <v/>
      </c>
      <c r="E846" s="19" t="str">
        <f aca="false">IF(Transações!E846&lt;&gt;"",Transações!E846,"")</f>
        <v/>
      </c>
      <c r="F846" s="12" t="str">
        <f aca="false">IF(C846="Compra",D846*E846,IF(C846="Staking",D846*E846,""))</f>
        <v/>
      </c>
      <c r="G846" s="12" t="str">
        <f aca="false">IF(C846="Venda",IF(COUNTIF(A$3:A845,A846)&gt;0,(E846-SUMPRODUCT((A$3:A845=A846)*(C$3:C845="Compra")*F$3:F845)/IF(SUMPRODUCT((A$3:A845=A846)*(C$3:C845="Compra")*D$3:D845)=0,1,SUMPRODUCT((A$3:A845=A846)*(C$3:C845="Compra")*D$3:D845)))*D846,0),"")</f>
        <v/>
      </c>
      <c r="H846" s="12" t="str">
        <f aca="false">IF(C846="Venda",E846*D846,"")</f>
        <v/>
      </c>
    </row>
    <row r="847" customFormat="false" ht="15" hidden="false" customHeight="false" outlineLevel="0" collapsed="false">
      <c r="A847" s="14" t="str">
        <f aca="false">IF(Transações!C847&lt;&gt;"",Transações!C847,"")</f>
        <v/>
      </c>
      <c r="B847" s="14" t="str">
        <f aca="false">IF(Transações!A847&lt;&gt;"",Transações!A847,"")</f>
        <v/>
      </c>
      <c r="C847" s="14" t="str">
        <f aca="false">IF(Transações!B847&lt;&gt;"",Transações!B847,"")</f>
        <v/>
      </c>
      <c r="D847" s="15" t="str">
        <f aca="false">IF(Transações!D847&lt;&gt;"",Transações!D847,"")</f>
        <v/>
      </c>
      <c r="E847" s="16" t="str">
        <f aca="false">IF(Transações!E847&lt;&gt;"",Transações!E847,"")</f>
        <v/>
      </c>
      <c r="F847" s="7" t="str">
        <f aca="false">IF(C847="Compra",D847*E847,IF(C847="Staking",D847*E847,""))</f>
        <v/>
      </c>
      <c r="G847" s="7" t="str">
        <f aca="false">IF(C847="Venda",IF(COUNTIF(A$3:A846,A847)&gt;0,(E847-SUMPRODUCT((A$3:A846=A847)*(C$3:C846="Compra")*F$3:F846)/IF(SUMPRODUCT((A$3:A846=A847)*(C$3:C846="Compra")*D$3:D846)=0,1,SUMPRODUCT((A$3:A846=A847)*(C$3:C846="Compra")*D$3:D846)))*D847,0),"")</f>
        <v/>
      </c>
      <c r="H847" s="7" t="str">
        <f aca="false">IF(C847="Venda",E847*D847,"")</f>
        <v/>
      </c>
    </row>
    <row r="848" customFormat="false" ht="15" hidden="false" customHeight="false" outlineLevel="0" collapsed="false">
      <c r="A848" s="17" t="str">
        <f aca="false">IF(Transações!C848&lt;&gt;"",Transações!C848,"")</f>
        <v/>
      </c>
      <c r="B848" s="17" t="str">
        <f aca="false">IF(Transações!A848&lt;&gt;"",Transações!A848,"")</f>
        <v/>
      </c>
      <c r="C848" s="17" t="str">
        <f aca="false">IF(Transações!B848&lt;&gt;"",Transações!B848,"")</f>
        <v/>
      </c>
      <c r="D848" s="18" t="str">
        <f aca="false">IF(Transações!D848&lt;&gt;"",Transações!D848,"")</f>
        <v/>
      </c>
      <c r="E848" s="19" t="str">
        <f aca="false">IF(Transações!E848&lt;&gt;"",Transações!E848,"")</f>
        <v/>
      </c>
      <c r="F848" s="12" t="str">
        <f aca="false">IF(C848="Compra",D848*E848,IF(C848="Staking",D848*E848,""))</f>
        <v/>
      </c>
      <c r="G848" s="12" t="str">
        <f aca="false">IF(C848="Venda",IF(COUNTIF(A$3:A847,A848)&gt;0,(E848-SUMPRODUCT((A$3:A847=A848)*(C$3:C847="Compra")*F$3:F847)/IF(SUMPRODUCT((A$3:A847=A848)*(C$3:C847="Compra")*D$3:D847)=0,1,SUMPRODUCT((A$3:A847=A848)*(C$3:C847="Compra")*D$3:D847)))*D848,0),"")</f>
        <v/>
      </c>
      <c r="H848" s="12" t="str">
        <f aca="false">IF(C848="Venda",E848*D848,"")</f>
        <v/>
      </c>
    </row>
    <row r="849" customFormat="false" ht="15" hidden="false" customHeight="false" outlineLevel="0" collapsed="false">
      <c r="A849" s="14" t="str">
        <f aca="false">IF(Transações!C849&lt;&gt;"",Transações!C849,"")</f>
        <v/>
      </c>
      <c r="B849" s="14" t="str">
        <f aca="false">IF(Transações!A849&lt;&gt;"",Transações!A849,"")</f>
        <v/>
      </c>
      <c r="C849" s="14" t="str">
        <f aca="false">IF(Transações!B849&lt;&gt;"",Transações!B849,"")</f>
        <v/>
      </c>
      <c r="D849" s="15" t="str">
        <f aca="false">IF(Transações!D849&lt;&gt;"",Transações!D849,"")</f>
        <v/>
      </c>
      <c r="E849" s="16" t="str">
        <f aca="false">IF(Transações!E849&lt;&gt;"",Transações!E849,"")</f>
        <v/>
      </c>
      <c r="F849" s="7" t="str">
        <f aca="false">IF(C849="Compra",D849*E849,IF(C849="Staking",D849*E849,""))</f>
        <v/>
      </c>
      <c r="G849" s="7" t="str">
        <f aca="false">IF(C849="Venda",IF(COUNTIF(A$3:A848,A849)&gt;0,(E849-SUMPRODUCT((A$3:A848=A849)*(C$3:C848="Compra")*F$3:F848)/IF(SUMPRODUCT((A$3:A848=A849)*(C$3:C848="Compra")*D$3:D848)=0,1,SUMPRODUCT((A$3:A848=A849)*(C$3:C848="Compra")*D$3:D848)))*D849,0),"")</f>
        <v/>
      </c>
      <c r="H849" s="7" t="str">
        <f aca="false">IF(C849="Venda",E849*D849,"")</f>
        <v/>
      </c>
    </row>
    <row r="850" customFormat="false" ht="15" hidden="false" customHeight="false" outlineLevel="0" collapsed="false">
      <c r="A850" s="17" t="str">
        <f aca="false">IF(Transações!C850&lt;&gt;"",Transações!C850,"")</f>
        <v/>
      </c>
      <c r="B850" s="17" t="str">
        <f aca="false">IF(Transações!A850&lt;&gt;"",Transações!A850,"")</f>
        <v/>
      </c>
      <c r="C850" s="17" t="str">
        <f aca="false">IF(Transações!B850&lt;&gt;"",Transações!B850,"")</f>
        <v/>
      </c>
      <c r="D850" s="18" t="str">
        <f aca="false">IF(Transações!D850&lt;&gt;"",Transações!D850,"")</f>
        <v/>
      </c>
      <c r="E850" s="19" t="str">
        <f aca="false">IF(Transações!E850&lt;&gt;"",Transações!E850,"")</f>
        <v/>
      </c>
      <c r="F850" s="12" t="str">
        <f aca="false">IF(C850="Compra",D850*E850,IF(C850="Staking",D850*E850,""))</f>
        <v/>
      </c>
      <c r="G850" s="12" t="str">
        <f aca="false">IF(C850="Venda",IF(COUNTIF(A$3:A849,A850)&gt;0,(E850-SUMPRODUCT((A$3:A849=A850)*(C$3:C849="Compra")*F$3:F849)/IF(SUMPRODUCT((A$3:A849=A850)*(C$3:C849="Compra")*D$3:D849)=0,1,SUMPRODUCT((A$3:A849=A850)*(C$3:C849="Compra")*D$3:D849)))*D850,0),"")</f>
        <v/>
      </c>
      <c r="H850" s="12" t="str">
        <f aca="false">IF(C850="Venda",E850*D850,"")</f>
        <v/>
      </c>
    </row>
    <row r="851" customFormat="false" ht="15" hidden="false" customHeight="false" outlineLevel="0" collapsed="false">
      <c r="A851" s="14" t="str">
        <f aca="false">IF(Transações!C851&lt;&gt;"",Transações!C851,"")</f>
        <v/>
      </c>
      <c r="B851" s="14" t="str">
        <f aca="false">IF(Transações!A851&lt;&gt;"",Transações!A851,"")</f>
        <v/>
      </c>
      <c r="C851" s="14" t="str">
        <f aca="false">IF(Transações!B851&lt;&gt;"",Transações!B851,"")</f>
        <v/>
      </c>
      <c r="D851" s="15" t="str">
        <f aca="false">IF(Transações!D851&lt;&gt;"",Transações!D851,"")</f>
        <v/>
      </c>
      <c r="E851" s="16" t="str">
        <f aca="false">IF(Transações!E851&lt;&gt;"",Transações!E851,"")</f>
        <v/>
      </c>
      <c r="F851" s="7" t="str">
        <f aca="false">IF(C851="Compra",D851*E851,IF(C851="Staking",D851*E851,""))</f>
        <v/>
      </c>
      <c r="G851" s="7" t="str">
        <f aca="false">IF(C851="Venda",IF(COUNTIF(A$3:A850,A851)&gt;0,(E851-SUMPRODUCT((A$3:A850=A851)*(C$3:C850="Compra")*F$3:F850)/IF(SUMPRODUCT((A$3:A850=A851)*(C$3:C850="Compra")*D$3:D850)=0,1,SUMPRODUCT((A$3:A850=A851)*(C$3:C850="Compra")*D$3:D850)))*D851,0),"")</f>
        <v/>
      </c>
      <c r="H851" s="7" t="str">
        <f aca="false">IF(C851="Venda",E851*D851,"")</f>
        <v/>
      </c>
    </row>
    <row r="852" customFormat="false" ht="15" hidden="false" customHeight="false" outlineLevel="0" collapsed="false">
      <c r="A852" s="17" t="str">
        <f aca="false">IF(Transações!C852&lt;&gt;"",Transações!C852,"")</f>
        <v/>
      </c>
      <c r="B852" s="17" t="str">
        <f aca="false">IF(Transações!A852&lt;&gt;"",Transações!A852,"")</f>
        <v/>
      </c>
      <c r="C852" s="17" t="str">
        <f aca="false">IF(Transações!B852&lt;&gt;"",Transações!B852,"")</f>
        <v/>
      </c>
      <c r="D852" s="18" t="str">
        <f aca="false">IF(Transações!D852&lt;&gt;"",Transações!D852,"")</f>
        <v/>
      </c>
      <c r="E852" s="19" t="str">
        <f aca="false">IF(Transações!E852&lt;&gt;"",Transações!E852,"")</f>
        <v/>
      </c>
      <c r="F852" s="12" t="str">
        <f aca="false">IF(C852="Compra",D852*E852,IF(C852="Staking",D852*E852,""))</f>
        <v/>
      </c>
      <c r="G852" s="12" t="str">
        <f aca="false">IF(C852="Venda",IF(COUNTIF(A$3:A851,A852)&gt;0,(E852-SUMPRODUCT((A$3:A851=A852)*(C$3:C851="Compra")*F$3:F851)/IF(SUMPRODUCT((A$3:A851=A852)*(C$3:C851="Compra")*D$3:D851)=0,1,SUMPRODUCT((A$3:A851=A852)*(C$3:C851="Compra")*D$3:D851)))*D852,0),"")</f>
        <v/>
      </c>
      <c r="H852" s="12" t="str">
        <f aca="false">IF(C852="Venda",E852*D852,"")</f>
        <v/>
      </c>
    </row>
    <row r="853" customFormat="false" ht="15" hidden="false" customHeight="false" outlineLevel="0" collapsed="false">
      <c r="A853" s="14" t="str">
        <f aca="false">IF(Transações!C853&lt;&gt;"",Transações!C853,"")</f>
        <v/>
      </c>
      <c r="B853" s="14" t="str">
        <f aca="false">IF(Transações!A853&lt;&gt;"",Transações!A853,"")</f>
        <v/>
      </c>
      <c r="C853" s="14" t="str">
        <f aca="false">IF(Transações!B853&lt;&gt;"",Transações!B853,"")</f>
        <v/>
      </c>
      <c r="D853" s="15" t="str">
        <f aca="false">IF(Transações!D853&lt;&gt;"",Transações!D853,"")</f>
        <v/>
      </c>
      <c r="E853" s="16" t="str">
        <f aca="false">IF(Transações!E853&lt;&gt;"",Transações!E853,"")</f>
        <v/>
      </c>
      <c r="F853" s="7" t="str">
        <f aca="false">IF(C853="Compra",D853*E853,IF(C853="Staking",D853*E853,""))</f>
        <v/>
      </c>
      <c r="G853" s="7" t="str">
        <f aca="false">IF(C853="Venda",IF(COUNTIF(A$3:A852,A853)&gt;0,(E853-SUMPRODUCT((A$3:A852=A853)*(C$3:C852="Compra")*F$3:F852)/IF(SUMPRODUCT((A$3:A852=A853)*(C$3:C852="Compra")*D$3:D852)=0,1,SUMPRODUCT((A$3:A852=A853)*(C$3:C852="Compra")*D$3:D852)))*D853,0),"")</f>
        <v/>
      </c>
      <c r="H853" s="7" t="str">
        <f aca="false">IF(C853="Venda",E853*D853,"")</f>
        <v/>
      </c>
    </row>
    <row r="854" customFormat="false" ht="15" hidden="false" customHeight="false" outlineLevel="0" collapsed="false">
      <c r="A854" s="17" t="str">
        <f aca="false">IF(Transações!C854&lt;&gt;"",Transações!C854,"")</f>
        <v/>
      </c>
      <c r="B854" s="17" t="str">
        <f aca="false">IF(Transações!A854&lt;&gt;"",Transações!A854,"")</f>
        <v/>
      </c>
      <c r="C854" s="17" t="str">
        <f aca="false">IF(Transações!B854&lt;&gt;"",Transações!B854,"")</f>
        <v/>
      </c>
      <c r="D854" s="18" t="str">
        <f aca="false">IF(Transações!D854&lt;&gt;"",Transações!D854,"")</f>
        <v/>
      </c>
      <c r="E854" s="19" t="str">
        <f aca="false">IF(Transações!E854&lt;&gt;"",Transações!E854,"")</f>
        <v/>
      </c>
      <c r="F854" s="12" t="str">
        <f aca="false">IF(C854="Compra",D854*E854,IF(C854="Staking",D854*E854,""))</f>
        <v/>
      </c>
      <c r="G854" s="12" t="str">
        <f aca="false">IF(C854="Venda",IF(COUNTIF(A$3:A853,A854)&gt;0,(E854-SUMPRODUCT((A$3:A853=A854)*(C$3:C853="Compra")*F$3:F853)/IF(SUMPRODUCT((A$3:A853=A854)*(C$3:C853="Compra")*D$3:D853)=0,1,SUMPRODUCT((A$3:A853=A854)*(C$3:C853="Compra")*D$3:D853)))*D854,0),"")</f>
        <v/>
      </c>
      <c r="H854" s="12" t="str">
        <f aca="false">IF(C854="Venda",E854*D854,"")</f>
        <v/>
      </c>
    </row>
    <row r="855" customFormat="false" ht="15" hidden="false" customHeight="false" outlineLevel="0" collapsed="false">
      <c r="A855" s="14" t="str">
        <f aca="false">IF(Transações!C855&lt;&gt;"",Transações!C855,"")</f>
        <v/>
      </c>
      <c r="B855" s="14" t="str">
        <f aca="false">IF(Transações!A855&lt;&gt;"",Transações!A855,"")</f>
        <v/>
      </c>
      <c r="C855" s="14" t="str">
        <f aca="false">IF(Transações!B855&lt;&gt;"",Transações!B855,"")</f>
        <v/>
      </c>
      <c r="D855" s="15" t="str">
        <f aca="false">IF(Transações!D855&lt;&gt;"",Transações!D855,"")</f>
        <v/>
      </c>
      <c r="E855" s="16" t="str">
        <f aca="false">IF(Transações!E855&lt;&gt;"",Transações!E855,"")</f>
        <v/>
      </c>
      <c r="F855" s="7" t="str">
        <f aca="false">IF(C855="Compra",D855*E855,IF(C855="Staking",D855*E855,""))</f>
        <v/>
      </c>
      <c r="G855" s="7" t="str">
        <f aca="false">IF(C855="Venda",IF(COUNTIF(A$3:A854,A855)&gt;0,(E855-SUMPRODUCT((A$3:A854=A855)*(C$3:C854="Compra")*F$3:F854)/IF(SUMPRODUCT((A$3:A854=A855)*(C$3:C854="Compra")*D$3:D854)=0,1,SUMPRODUCT((A$3:A854=A855)*(C$3:C854="Compra")*D$3:D854)))*D855,0),"")</f>
        <v/>
      </c>
      <c r="H855" s="7" t="str">
        <f aca="false">IF(C855="Venda",E855*D855,"")</f>
        <v/>
      </c>
    </row>
    <row r="856" customFormat="false" ht="15" hidden="false" customHeight="false" outlineLevel="0" collapsed="false">
      <c r="A856" s="17" t="str">
        <f aca="false">IF(Transações!C856&lt;&gt;"",Transações!C856,"")</f>
        <v/>
      </c>
      <c r="B856" s="17" t="str">
        <f aca="false">IF(Transações!A856&lt;&gt;"",Transações!A856,"")</f>
        <v/>
      </c>
      <c r="C856" s="17" t="str">
        <f aca="false">IF(Transações!B856&lt;&gt;"",Transações!B856,"")</f>
        <v/>
      </c>
      <c r="D856" s="18" t="str">
        <f aca="false">IF(Transações!D856&lt;&gt;"",Transações!D856,"")</f>
        <v/>
      </c>
      <c r="E856" s="19" t="str">
        <f aca="false">IF(Transações!E856&lt;&gt;"",Transações!E856,"")</f>
        <v/>
      </c>
      <c r="F856" s="12" t="str">
        <f aca="false">IF(C856="Compra",D856*E856,IF(C856="Staking",D856*E856,""))</f>
        <v/>
      </c>
      <c r="G856" s="12" t="str">
        <f aca="false">IF(C856="Venda",IF(COUNTIF(A$3:A855,A856)&gt;0,(E856-SUMPRODUCT((A$3:A855=A856)*(C$3:C855="Compra")*F$3:F855)/IF(SUMPRODUCT((A$3:A855=A856)*(C$3:C855="Compra")*D$3:D855)=0,1,SUMPRODUCT((A$3:A855=A856)*(C$3:C855="Compra")*D$3:D855)))*D856,0),"")</f>
        <v/>
      </c>
      <c r="H856" s="12" t="str">
        <f aca="false">IF(C856="Venda",E856*D856,"")</f>
        <v/>
      </c>
    </row>
    <row r="857" customFormat="false" ht="15" hidden="false" customHeight="false" outlineLevel="0" collapsed="false">
      <c r="A857" s="14" t="str">
        <f aca="false">IF(Transações!C857&lt;&gt;"",Transações!C857,"")</f>
        <v/>
      </c>
      <c r="B857" s="14" t="str">
        <f aca="false">IF(Transações!A857&lt;&gt;"",Transações!A857,"")</f>
        <v/>
      </c>
      <c r="C857" s="14" t="str">
        <f aca="false">IF(Transações!B857&lt;&gt;"",Transações!B857,"")</f>
        <v/>
      </c>
      <c r="D857" s="15" t="str">
        <f aca="false">IF(Transações!D857&lt;&gt;"",Transações!D857,"")</f>
        <v/>
      </c>
      <c r="E857" s="16" t="str">
        <f aca="false">IF(Transações!E857&lt;&gt;"",Transações!E857,"")</f>
        <v/>
      </c>
      <c r="F857" s="7" t="str">
        <f aca="false">IF(C857="Compra",D857*E857,IF(C857="Staking",D857*E857,""))</f>
        <v/>
      </c>
      <c r="G857" s="7" t="str">
        <f aca="false">IF(C857="Venda",IF(COUNTIF(A$3:A856,A857)&gt;0,(E857-SUMPRODUCT((A$3:A856=A857)*(C$3:C856="Compra")*F$3:F856)/IF(SUMPRODUCT((A$3:A856=A857)*(C$3:C856="Compra")*D$3:D856)=0,1,SUMPRODUCT((A$3:A856=A857)*(C$3:C856="Compra")*D$3:D856)))*D857,0),"")</f>
        <v/>
      </c>
      <c r="H857" s="7" t="str">
        <f aca="false">IF(C857="Venda",E857*D857,"")</f>
        <v/>
      </c>
    </row>
    <row r="858" customFormat="false" ht="15" hidden="false" customHeight="false" outlineLevel="0" collapsed="false">
      <c r="A858" s="17" t="str">
        <f aca="false">IF(Transações!C858&lt;&gt;"",Transações!C858,"")</f>
        <v/>
      </c>
      <c r="B858" s="17" t="str">
        <f aca="false">IF(Transações!A858&lt;&gt;"",Transações!A858,"")</f>
        <v/>
      </c>
      <c r="C858" s="17" t="str">
        <f aca="false">IF(Transações!B858&lt;&gt;"",Transações!B858,"")</f>
        <v/>
      </c>
      <c r="D858" s="18" t="str">
        <f aca="false">IF(Transações!D858&lt;&gt;"",Transações!D858,"")</f>
        <v/>
      </c>
      <c r="E858" s="19" t="str">
        <f aca="false">IF(Transações!E858&lt;&gt;"",Transações!E858,"")</f>
        <v/>
      </c>
      <c r="F858" s="12" t="str">
        <f aca="false">IF(C858="Compra",D858*E858,IF(C858="Staking",D858*E858,""))</f>
        <v/>
      </c>
      <c r="G858" s="12" t="str">
        <f aca="false">IF(C858="Venda",IF(COUNTIF(A$3:A857,A858)&gt;0,(E858-SUMPRODUCT((A$3:A857=A858)*(C$3:C857="Compra")*F$3:F857)/IF(SUMPRODUCT((A$3:A857=A858)*(C$3:C857="Compra")*D$3:D857)=0,1,SUMPRODUCT((A$3:A857=A858)*(C$3:C857="Compra")*D$3:D857)))*D858,0),"")</f>
        <v/>
      </c>
      <c r="H858" s="12" t="str">
        <f aca="false">IF(C858="Venda",E858*D858,"")</f>
        <v/>
      </c>
    </row>
    <row r="859" customFormat="false" ht="15" hidden="false" customHeight="false" outlineLevel="0" collapsed="false">
      <c r="A859" s="14" t="str">
        <f aca="false">IF(Transações!C859&lt;&gt;"",Transações!C859,"")</f>
        <v/>
      </c>
      <c r="B859" s="14" t="str">
        <f aca="false">IF(Transações!A859&lt;&gt;"",Transações!A859,"")</f>
        <v/>
      </c>
      <c r="C859" s="14" t="str">
        <f aca="false">IF(Transações!B859&lt;&gt;"",Transações!B859,"")</f>
        <v/>
      </c>
      <c r="D859" s="15" t="str">
        <f aca="false">IF(Transações!D859&lt;&gt;"",Transações!D859,"")</f>
        <v/>
      </c>
      <c r="E859" s="16" t="str">
        <f aca="false">IF(Transações!E859&lt;&gt;"",Transações!E859,"")</f>
        <v/>
      </c>
      <c r="F859" s="7" t="str">
        <f aca="false">IF(C859="Compra",D859*E859,IF(C859="Staking",D859*E859,""))</f>
        <v/>
      </c>
      <c r="G859" s="7" t="str">
        <f aca="false">IF(C859="Venda",IF(COUNTIF(A$3:A858,A859)&gt;0,(E859-SUMPRODUCT((A$3:A858=A859)*(C$3:C858="Compra")*F$3:F858)/IF(SUMPRODUCT((A$3:A858=A859)*(C$3:C858="Compra")*D$3:D858)=0,1,SUMPRODUCT((A$3:A858=A859)*(C$3:C858="Compra")*D$3:D858)))*D859,0),"")</f>
        <v/>
      </c>
      <c r="H859" s="7" t="str">
        <f aca="false">IF(C859="Venda",E859*D859,"")</f>
        <v/>
      </c>
    </row>
    <row r="860" customFormat="false" ht="15" hidden="false" customHeight="false" outlineLevel="0" collapsed="false">
      <c r="A860" s="17" t="str">
        <f aca="false">IF(Transações!C860&lt;&gt;"",Transações!C860,"")</f>
        <v/>
      </c>
      <c r="B860" s="17" t="str">
        <f aca="false">IF(Transações!A860&lt;&gt;"",Transações!A860,"")</f>
        <v/>
      </c>
      <c r="C860" s="17" t="str">
        <f aca="false">IF(Transações!B860&lt;&gt;"",Transações!B860,"")</f>
        <v/>
      </c>
      <c r="D860" s="18" t="str">
        <f aca="false">IF(Transações!D860&lt;&gt;"",Transações!D860,"")</f>
        <v/>
      </c>
      <c r="E860" s="19" t="str">
        <f aca="false">IF(Transações!E860&lt;&gt;"",Transações!E860,"")</f>
        <v/>
      </c>
      <c r="F860" s="12" t="str">
        <f aca="false">IF(C860="Compra",D860*E860,IF(C860="Staking",D860*E860,""))</f>
        <v/>
      </c>
      <c r="G860" s="12" t="str">
        <f aca="false">IF(C860="Venda",IF(COUNTIF(A$3:A859,A860)&gt;0,(E860-SUMPRODUCT((A$3:A859=A860)*(C$3:C859="Compra")*F$3:F859)/IF(SUMPRODUCT((A$3:A859=A860)*(C$3:C859="Compra")*D$3:D859)=0,1,SUMPRODUCT((A$3:A859=A860)*(C$3:C859="Compra")*D$3:D859)))*D860,0),"")</f>
        <v/>
      </c>
      <c r="H860" s="12" t="str">
        <f aca="false">IF(C860="Venda",E860*D860,"")</f>
        <v/>
      </c>
    </row>
    <row r="861" customFormat="false" ht="15" hidden="false" customHeight="false" outlineLevel="0" collapsed="false">
      <c r="A861" s="14" t="str">
        <f aca="false">IF(Transações!C861&lt;&gt;"",Transações!C861,"")</f>
        <v/>
      </c>
      <c r="B861" s="14" t="str">
        <f aca="false">IF(Transações!A861&lt;&gt;"",Transações!A861,"")</f>
        <v/>
      </c>
      <c r="C861" s="14" t="str">
        <f aca="false">IF(Transações!B861&lt;&gt;"",Transações!B861,"")</f>
        <v/>
      </c>
      <c r="D861" s="15" t="str">
        <f aca="false">IF(Transações!D861&lt;&gt;"",Transações!D861,"")</f>
        <v/>
      </c>
      <c r="E861" s="16" t="str">
        <f aca="false">IF(Transações!E861&lt;&gt;"",Transações!E861,"")</f>
        <v/>
      </c>
      <c r="F861" s="7" t="str">
        <f aca="false">IF(C861="Compra",D861*E861,IF(C861="Staking",D861*E861,""))</f>
        <v/>
      </c>
      <c r="G861" s="7" t="str">
        <f aca="false">IF(C861="Venda",IF(COUNTIF(A$3:A860,A861)&gt;0,(E861-SUMPRODUCT((A$3:A860=A861)*(C$3:C860="Compra")*F$3:F860)/IF(SUMPRODUCT((A$3:A860=A861)*(C$3:C860="Compra")*D$3:D860)=0,1,SUMPRODUCT((A$3:A860=A861)*(C$3:C860="Compra")*D$3:D860)))*D861,0),"")</f>
        <v/>
      </c>
      <c r="H861" s="7" t="str">
        <f aca="false">IF(C861="Venda",E861*D861,"")</f>
        <v/>
      </c>
    </row>
    <row r="862" customFormat="false" ht="15" hidden="false" customHeight="false" outlineLevel="0" collapsed="false">
      <c r="A862" s="17" t="str">
        <f aca="false">IF(Transações!C862&lt;&gt;"",Transações!C862,"")</f>
        <v/>
      </c>
      <c r="B862" s="17" t="str">
        <f aca="false">IF(Transações!A862&lt;&gt;"",Transações!A862,"")</f>
        <v/>
      </c>
      <c r="C862" s="17" t="str">
        <f aca="false">IF(Transações!B862&lt;&gt;"",Transações!B862,"")</f>
        <v/>
      </c>
      <c r="D862" s="18" t="str">
        <f aca="false">IF(Transações!D862&lt;&gt;"",Transações!D862,"")</f>
        <v/>
      </c>
      <c r="E862" s="19" t="str">
        <f aca="false">IF(Transações!E862&lt;&gt;"",Transações!E862,"")</f>
        <v/>
      </c>
      <c r="F862" s="12" t="str">
        <f aca="false">IF(C862="Compra",D862*E862,IF(C862="Staking",D862*E862,""))</f>
        <v/>
      </c>
      <c r="G862" s="12" t="str">
        <f aca="false">IF(C862="Venda",IF(COUNTIF(A$3:A861,A862)&gt;0,(E862-SUMPRODUCT((A$3:A861=A862)*(C$3:C861="Compra")*F$3:F861)/IF(SUMPRODUCT((A$3:A861=A862)*(C$3:C861="Compra")*D$3:D861)=0,1,SUMPRODUCT((A$3:A861=A862)*(C$3:C861="Compra")*D$3:D861)))*D862,0),"")</f>
        <v/>
      </c>
      <c r="H862" s="12" t="str">
        <f aca="false">IF(C862="Venda",E862*D862,"")</f>
        <v/>
      </c>
    </row>
    <row r="863" customFormat="false" ht="15" hidden="false" customHeight="false" outlineLevel="0" collapsed="false">
      <c r="A863" s="14" t="str">
        <f aca="false">IF(Transações!C863&lt;&gt;"",Transações!C863,"")</f>
        <v/>
      </c>
      <c r="B863" s="14" t="str">
        <f aca="false">IF(Transações!A863&lt;&gt;"",Transações!A863,"")</f>
        <v/>
      </c>
      <c r="C863" s="14" t="str">
        <f aca="false">IF(Transações!B863&lt;&gt;"",Transações!B863,"")</f>
        <v/>
      </c>
      <c r="D863" s="15" t="str">
        <f aca="false">IF(Transações!D863&lt;&gt;"",Transações!D863,"")</f>
        <v/>
      </c>
      <c r="E863" s="16" t="str">
        <f aca="false">IF(Transações!E863&lt;&gt;"",Transações!E863,"")</f>
        <v/>
      </c>
      <c r="F863" s="7" t="str">
        <f aca="false">IF(C863="Compra",D863*E863,IF(C863="Staking",D863*E863,""))</f>
        <v/>
      </c>
      <c r="G863" s="7" t="str">
        <f aca="false">IF(C863="Venda",IF(COUNTIF(A$3:A862,A863)&gt;0,(E863-SUMPRODUCT((A$3:A862=A863)*(C$3:C862="Compra")*F$3:F862)/IF(SUMPRODUCT((A$3:A862=A863)*(C$3:C862="Compra")*D$3:D862)=0,1,SUMPRODUCT((A$3:A862=A863)*(C$3:C862="Compra")*D$3:D862)))*D863,0),"")</f>
        <v/>
      </c>
      <c r="H863" s="7" t="str">
        <f aca="false">IF(C863="Venda",E863*D863,"")</f>
        <v/>
      </c>
    </row>
    <row r="864" customFormat="false" ht="15" hidden="false" customHeight="false" outlineLevel="0" collapsed="false">
      <c r="A864" s="17" t="str">
        <f aca="false">IF(Transações!C864&lt;&gt;"",Transações!C864,"")</f>
        <v/>
      </c>
      <c r="B864" s="17" t="str">
        <f aca="false">IF(Transações!A864&lt;&gt;"",Transações!A864,"")</f>
        <v/>
      </c>
      <c r="C864" s="17" t="str">
        <f aca="false">IF(Transações!B864&lt;&gt;"",Transações!B864,"")</f>
        <v/>
      </c>
      <c r="D864" s="18" t="str">
        <f aca="false">IF(Transações!D864&lt;&gt;"",Transações!D864,"")</f>
        <v/>
      </c>
      <c r="E864" s="19" t="str">
        <f aca="false">IF(Transações!E864&lt;&gt;"",Transações!E864,"")</f>
        <v/>
      </c>
      <c r="F864" s="12" t="str">
        <f aca="false">IF(C864="Compra",D864*E864,IF(C864="Staking",D864*E864,""))</f>
        <v/>
      </c>
      <c r="G864" s="12" t="str">
        <f aca="false">IF(C864="Venda",IF(COUNTIF(A$3:A863,A864)&gt;0,(E864-SUMPRODUCT((A$3:A863=A864)*(C$3:C863="Compra")*F$3:F863)/IF(SUMPRODUCT((A$3:A863=A864)*(C$3:C863="Compra")*D$3:D863)=0,1,SUMPRODUCT((A$3:A863=A864)*(C$3:C863="Compra")*D$3:D863)))*D864,0),"")</f>
        <v/>
      </c>
      <c r="H864" s="12" t="str">
        <f aca="false">IF(C864="Venda",E864*D864,"")</f>
        <v/>
      </c>
    </row>
    <row r="865" customFormat="false" ht="15" hidden="false" customHeight="false" outlineLevel="0" collapsed="false">
      <c r="A865" s="14" t="str">
        <f aca="false">IF(Transações!C865&lt;&gt;"",Transações!C865,"")</f>
        <v/>
      </c>
      <c r="B865" s="14" t="str">
        <f aca="false">IF(Transações!A865&lt;&gt;"",Transações!A865,"")</f>
        <v/>
      </c>
      <c r="C865" s="14" t="str">
        <f aca="false">IF(Transações!B865&lt;&gt;"",Transações!B865,"")</f>
        <v/>
      </c>
      <c r="D865" s="15" t="str">
        <f aca="false">IF(Transações!D865&lt;&gt;"",Transações!D865,"")</f>
        <v/>
      </c>
      <c r="E865" s="16" t="str">
        <f aca="false">IF(Transações!E865&lt;&gt;"",Transações!E865,"")</f>
        <v/>
      </c>
      <c r="F865" s="7" t="str">
        <f aca="false">IF(C865="Compra",D865*E865,IF(C865="Staking",D865*E865,""))</f>
        <v/>
      </c>
      <c r="G865" s="7" t="str">
        <f aca="false">IF(C865="Venda",IF(COUNTIF(A$3:A864,A865)&gt;0,(E865-SUMPRODUCT((A$3:A864=A865)*(C$3:C864="Compra")*F$3:F864)/IF(SUMPRODUCT((A$3:A864=A865)*(C$3:C864="Compra")*D$3:D864)=0,1,SUMPRODUCT((A$3:A864=A865)*(C$3:C864="Compra")*D$3:D864)))*D865,0),"")</f>
        <v/>
      </c>
      <c r="H865" s="7" t="str">
        <f aca="false">IF(C865="Venda",E865*D865,"")</f>
        <v/>
      </c>
    </row>
    <row r="866" customFormat="false" ht="15" hidden="false" customHeight="false" outlineLevel="0" collapsed="false">
      <c r="A866" s="17" t="str">
        <f aca="false">IF(Transações!C866&lt;&gt;"",Transações!C866,"")</f>
        <v/>
      </c>
      <c r="B866" s="17" t="str">
        <f aca="false">IF(Transações!A866&lt;&gt;"",Transações!A866,"")</f>
        <v/>
      </c>
      <c r="C866" s="17" t="str">
        <f aca="false">IF(Transações!B866&lt;&gt;"",Transações!B866,"")</f>
        <v/>
      </c>
      <c r="D866" s="18" t="str">
        <f aca="false">IF(Transações!D866&lt;&gt;"",Transações!D866,"")</f>
        <v/>
      </c>
      <c r="E866" s="19" t="str">
        <f aca="false">IF(Transações!E866&lt;&gt;"",Transações!E866,"")</f>
        <v/>
      </c>
      <c r="F866" s="12" t="str">
        <f aca="false">IF(C866="Compra",D866*E866,IF(C866="Staking",D866*E866,""))</f>
        <v/>
      </c>
      <c r="G866" s="12" t="str">
        <f aca="false">IF(C866="Venda",IF(COUNTIF(A$3:A865,A866)&gt;0,(E866-SUMPRODUCT((A$3:A865=A866)*(C$3:C865="Compra")*F$3:F865)/IF(SUMPRODUCT((A$3:A865=A866)*(C$3:C865="Compra")*D$3:D865)=0,1,SUMPRODUCT((A$3:A865=A866)*(C$3:C865="Compra")*D$3:D865)))*D866,0),"")</f>
        <v/>
      </c>
      <c r="H866" s="12" t="str">
        <f aca="false">IF(C866="Venda",E866*D866,"")</f>
        <v/>
      </c>
    </row>
    <row r="867" customFormat="false" ht="15" hidden="false" customHeight="false" outlineLevel="0" collapsed="false">
      <c r="A867" s="14" t="str">
        <f aca="false">IF(Transações!C867&lt;&gt;"",Transações!C867,"")</f>
        <v/>
      </c>
      <c r="B867" s="14" t="str">
        <f aca="false">IF(Transações!A867&lt;&gt;"",Transações!A867,"")</f>
        <v/>
      </c>
      <c r="C867" s="14" t="str">
        <f aca="false">IF(Transações!B867&lt;&gt;"",Transações!B867,"")</f>
        <v/>
      </c>
      <c r="D867" s="15" t="str">
        <f aca="false">IF(Transações!D867&lt;&gt;"",Transações!D867,"")</f>
        <v/>
      </c>
      <c r="E867" s="16" t="str">
        <f aca="false">IF(Transações!E867&lt;&gt;"",Transações!E867,"")</f>
        <v/>
      </c>
      <c r="F867" s="7" t="str">
        <f aca="false">IF(C867="Compra",D867*E867,IF(C867="Staking",D867*E867,""))</f>
        <v/>
      </c>
      <c r="G867" s="7" t="str">
        <f aca="false">IF(C867="Venda",IF(COUNTIF(A$3:A866,A867)&gt;0,(E867-SUMPRODUCT((A$3:A866=A867)*(C$3:C866="Compra")*F$3:F866)/IF(SUMPRODUCT((A$3:A866=A867)*(C$3:C866="Compra")*D$3:D866)=0,1,SUMPRODUCT((A$3:A866=A867)*(C$3:C866="Compra")*D$3:D866)))*D867,0),"")</f>
        <v/>
      </c>
      <c r="H867" s="7" t="str">
        <f aca="false">IF(C867="Venda",E867*D867,"")</f>
        <v/>
      </c>
    </row>
    <row r="868" customFormat="false" ht="15" hidden="false" customHeight="false" outlineLevel="0" collapsed="false">
      <c r="A868" s="17" t="str">
        <f aca="false">IF(Transações!C868&lt;&gt;"",Transações!C868,"")</f>
        <v/>
      </c>
      <c r="B868" s="17" t="str">
        <f aca="false">IF(Transações!A868&lt;&gt;"",Transações!A868,"")</f>
        <v/>
      </c>
      <c r="C868" s="17" t="str">
        <f aca="false">IF(Transações!B868&lt;&gt;"",Transações!B868,"")</f>
        <v/>
      </c>
      <c r="D868" s="18" t="str">
        <f aca="false">IF(Transações!D868&lt;&gt;"",Transações!D868,"")</f>
        <v/>
      </c>
      <c r="E868" s="19" t="str">
        <f aca="false">IF(Transações!E868&lt;&gt;"",Transações!E868,"")</f>
        <v/>
      </c>
      <c r="F868" s="12" t="str">
        <f aca="false">IF(C868="Compra",D868*E868,IF(C868="Staking",D868*E868,""))</f>
        <v/>
      </c>
      <c r="G868" s="12" t="str">
        <f aca="false">IF(C868="Venda",IF(COUNTIF(A$3:A867,A868)&gt;0,(E868-SUMPRODUCT((A$3:A867=A868)*(C$3:C867="Compra")*F$3:F867)/IF(SUMPRODUCT((A$3:A867=A868)*(C$3:C867="Compra")*D$3:D867)=0,1,SUMPRODUCT((A$3:A867=A868)*(C$3:C867="Compra")*D$3:D867)))*D868,0),"")</f>
        <v/>
      </c>
      <c r="H868" s="12" t="str">
        <f aca="false">IF(C868="Venda",E868*D868,"")</f>
        <v/>
      </c>
    </row>
    <row r="869" customFormat="false" ht="15" hidden="false" customHeight="false" outlineLevel="0" collapsed="false">
      <c r="A869" s="14" t="str">
        <f aca="false">IF(Transações!C869&lt;&gt;"",Transações!C869,"")</f>
        <v/>
      </c>
      <c r="B869" s="14" t="str">
        <f aca="false">IF(Transações!A869&lt;&gt;"",Transações!A869,"")</f>
        <v/>
      </c>
      <c r="C869" s="14" t="str">
        <f aca="false">IF(Transações!B869&lt;&gt;"",Transações!B869,"")</f>
        <v/>
      </c>
      <c r="D869" s="15" t="str">
        <f aca="false">IF(Transações!D869&lt;&gt;"",Transações!D869,"")</f>
        <v/>
      </c>
      <c r="E869" s="16" t="str">
        <f aca="false">IF(Transações!E869&lt;&gt;"",Transações!E869,"")</f>
        <v/>
      </c>
      <c r="F869" s="7" t="str">
        <f aca="false">IF(C869="Compra",D869*E869,IF(C869="Staking",D869*E869,""))</f>
        <v/>
      </c>
      <c r="G869" s="7" t="str">
        <f aca="false">IF(C869="Venda",IF(COUNTIF(A$3:A868,A869)&gt;0,(E869-SUMPRODUCT((A$3:A868=A869)*(C$3:C868="Compra")*F$3:F868)/IF(SUMPRODUCT((A$3:A868=A869)*(C$3:C868="Compra")*D$3:D868)=0,1,SUMPRODUCT((A$3:A868=A869)*(C$3:C868="Compra")*D$3:D868)))*D869,0),"")</f>
        <v/>
      </c>
      <c r="H869" s="7" t="str">
        <f aca="false">IF(C869="Venda",E869*D869,"")</f>
        <v/>
      </c>
    </row>
    <row r="870" customFormat="false" ht="15" hidden="false" customHeight="false" outlineLevel="0" collapsed="false">
      <c r="A870" s="17" t="str">
        <f aca="false">IF(Transações!C870&lt;&gt;"",Transações!C870,"")</f>
        <v/>
      </c>
      <c r="B870" s="17" t="str">
        <f aca="false">IF(Transações!A870&lt;&gt;"",Transações!A870,"")</f>
        <v/>
      </c>
      <c r="C870" s="17" t="str">
        <f aca="false">IF(Transações!B870&lt;&gt;"",Transações!B870,"")</f>
        <v/>
      </c>
      <c r="D870" s="18" t="str">
        <f aca="false">IF(Transações!D870&lt;&gt;"",Transações!D870,"")</f>
        <v/>
      </c>
      <c r="E870" s="19" t="str">
        <f aca="false">IF(Transações!E870&lt;&gt;"",Transações!E870,"")</f>
        <v/>
      </c>
      <c r="F870" s="12" t="str">
        <f aca="false">IF(C870="Compra",D870*E870,IF(C870="Staking",D870*E870,""))</f>
        <v/>
      </c>
      <c r="G870" s="12" t="str">
        <f aca="false">IF(C870="Venda",IF(COUNTIF(A$3:A869,A870)&gt;0,(E870-SUMPRODUCT((A$3:A869=A870)*(C$3:C869="Compra")*F$3:F869)/IF(SUMPRODUCT((A$3:A869=A870)*(C$3:C869="Compra")*D$3:D869)=0,1,SUMPRODUCT((A$3:A869=A870)*(C$3:C869="Compra")*D$3:D869)))*D870,0),"")</f>
        <v/>
      </c>
      <c r="H870" s="12" t="str">
        <f aca="false">IF(C870="Venda",E870*D870,"")</f>
        <v/>
      </c>
    </row>
    <row r="871" customFormat="false" ht="15" hidden="false" customHeight="false" outlineLevel="0" collapsed="false">
      <c r="A871" s="14" t="str">
        <f aca="false">IF(Transações!C871&lt;&gt;"",Transações!C871,"")</f>
        <v/>
      </c>
      <c r="B871" s="14" t="str">
        <f aca="false">IF(Transações!A871&lt;&gt;"",Transações!A871,"")</f>
        <v/>
      </c>
      <c r="C871" s="14" t="str">
        <f aca="false">IF(Transações!B871&lt;&gt;"",Transações!B871,"")</f>
        <v/>
      </c>
      <c r="D871" s="15" t="str">
        <f aca="false">IF(Transações!D871&lt;&gt;"",Transações!D871,"")</f>
        <v/>
      </c>
      <c r="E871" s="16" t="str">
        <f aca="false">IF(Transações!E871&lt;&gt;"",Transações!E871,"")</f>
        <v/>
      </c>
      <c r="F871" s="7" t="str">
        <f aca="false">IF(C871="Compra",D871*E871,IF(C871="Staking",D871*E871,""))</f>
        <v/>
      </c>
      <c r="G871" s="7" t="str">
        <f aca="false">IF(C871="Venda",IF(COUNTIF(A$3:A870,A871)&gt;0,(E871-SUMPRODUCT((A$3:A870=A871)*(C$3:C870="Compra")*F$3:F870)/IF(SUMPRODUCT((A$3:A870=A871)*(C$3:C870="Compra")*D$3:D870)=0,1,SUMPRODUCT((A$3:A870=A871)*(C$3:C870="Compra")*D$3:D870)))*D871,0),"")</f>
        <v/>
      </c>
      <c r="H871" s="7" t="str">
        <f aca="false">IF(C871="Venda",E871*D871,"")</f>
        <v/>
      </c>
    </row>
    <row r="872" customFormat="false" ht="15" hidden="false" customHeight="false" outlineLevel="0" collapsed="false">
      <c r="A872" s="17" t="str">
        <f aca="false">IF(Transações!C872&lt;&gt;"",Transações!C872,"")</f>
        <v/>
      </c>
      <c r="B872" s="17" t="str">
        <f aca="false">IF(Transações!A872&lt;&gt;"",Transações!A872,"")</f>
        <v/>
      </c>
      <c r="C872" s="17" t="str">
        <f aca="false">IF(Transações!B872&lt;&gt;"",Transações!B872,"")</f>
        <v/>
      </c>
      <c r="D872" s="18" t="str">
        <f aca="false">IF(Transações!D872&lt;&gt;"",Transações!D872,"")</f>
        <v/>
      </c>
      <c r="E872" s="19" t="str">
        <f aca="false">IF(Transações!E872&lt;&gt;"",Transações!E872,"")</f>
        <v/>
      </c>
      <c r="F872" s="12" t="str">
        <f aca="false">IF(C872="Compra",D872*E872,IF(C872="Staking",D872*E872,""))</f>
        <v/>
      </c>
      <c r="G872" s="12" t="str">
        <f aca="false">IF(C872="Venda",IF(COUNTIF(A$3:A871,A872)&gt;0,(E872-SUMPRODUCT((A$3:A871=A872)*(C$3:C871="Compra")*F$3:F871)/IF(SUMPRODUCT((A$3:A871=A872)*(C$3:C871="Compra")*D$3:D871)=0,1,SUMPRODUCT((A$3:A871=A872)*(C$3:C871="Compra")*D$3:D871)))*D872,0),"")</f>
        <v/>
      </c>
      <c r="H872" s="12" t="str">
        <f aca="false">IF(C872="Venda",E872*D872,"")</f>
        <v/>
      </c>
    </row>
    <row r="873" customFormat="false" ht="15" hidden="false" customHeight="false" outlineLevel="0" collapsed="false">
      <c r="A873" s="14" t="str">
        <f aca="false">IF(Transações!C873&lt;&gt;"",Transações!C873,"")</f>
        <v/>
      </c>
      <c r="B873" s="14" t="str">
        <f aca="false">IF(Transações!A873&lt;&gt;"",Transações!A873,"")</f>
        <v/>
      </c>
      <c r="C873" s="14" t="str">
        <f aca="false">IF(Transações!B873&lt;&gt;"",Transações!B873,"")</f>
        <v/>
      </c>
      <c r="D873" s="15" t="str">
        <f aca="false">IF(Transações!D873&lt;&gt;"",Transações!D873,"")</f>
        <v/>
      </c>
      <c r="E873" s="16" t="str">
        <f aca="false">IF(Transações!E873&lt;&gt;"",Transações!E873,"")</f>
        <v/>
      </c>
      <c r="F873" s="7" t="str">
        <f aca="false">IF(C873="Compra",D873*E873,IF(C873="Staking",D873*E873,""))</f>
        <v/>
      </c>
      <c r="G873" s="7" t="str">
        <f aca="false">IF(C873="Venda",IF(COUNTIF(A$3:A872,A873)&gt;0,(E873-SUMPRODUCT((A$3:A872=A873)*(C$3:C872="Compra")*F$3:F872)/IF(SUMPRODUCT((A$3:A872=A873)*(C$3:C872="Compra")*D$3:D872)=0,1,SUMPRODUCT((A$3:A872=A873)*(C$3:C872="Compra")*D$3:D872)))*D873,0),"")</f>
        <v/>
      </c>
      <c r="H873" s="7" t="str">
        <f aca="false">IF(C873="Venda",E873*D873,"")</f>
        <v/>
      </c>
    </row>
    <row r="874" customFormat="false" ht="15" hidden="false" customHeight="false" outlineLevel="0" collapsed="false">
      <c r="A874" s="17" t="str">
        <f aca="false">IF(Transações!C874&lt;&gt;"",Transações!C874,"")</f>
        <v/>
      </c>
      <c r="B874" s="17" t="str">
        <f aca="false">IF(Transações!A874&lt;&gt;"",Transações!A874,"")</f>
        <v/>
      </c>
      <c r="C874" s="17" t="str">
        <f aca="false">IF(Transações!B874&lt;&gt;"",Transações!B874,"")</f>
        <v/>
      </c>
      <c r="D874" s="18" t="str">
        <f aca="false">IF(Transações!D874&lt;&gt;"",Transações!D874,"")</f>
        <v/>
      </c>
      <c r="E874" s="19" t="str">
        <f aca="false">IF(Transações!E874&lt;&gt;"",Transações!E874,"")</f>
        <v/>
      </c>
      <c r="F874" s="12" t="str">
        <f aca="false">IF(C874="Compra",D874*E874,IF(C874="Staking",D874*E874,""))</f>
        <v/>
      </c>
      <c r="G874" s="12" t="str">
        <f aca="false">IF(C874="Venda",IF(COUNTIF(A$3:A873,A874)&gt;0,(E874-SUMPRODUCT((A$3:A873=A874)*(C$3:C873="Compra")*F$3:F873)/IF(SUMPRODUCT((A$3:A873=A874)*(C$3:C873="Compra")*D$3:D873)=0,1,SUMPRODUCT((A$3:A873=A874)*(C$3:C873="Compra")*D$3:D873)))*D874,0),"")</f>
        <v/>
      </c>
      <c r="H874" s="12" t="str">
        <f aca="false">IF(C874="Venda",E874*D874,"")</f>
        <v/>
      </c>
    </row>
    <row r="875" customFormat="false" ht="15" hidden="false" customHeight="false" outlineLevel="0" collapsed="false">
      <c r="A875" s="14" t="str">
        <f aca="false">IF(Transações!C875&lt;&gt;"",Transações!C875,"")</f>
        <v/>
      </c>
      <c r="B875" s="14" t="str">
        <f aca="false">IF(Transações!A875&lt;&gt;"",Transações!A875,"")</f>
        <v/>
      </c>
      <c r="C875" s="14" t="str">
        <f aca="false">IF(Transações!B875&lt;&gt;"",Transações!B875,"")</f>
        <v/>
      </c>
      <c r="D875" s="15" t="str">
        <f aca="false">IF(Transações!D875&lt;&gt;"",Transações!D875,"")</f>
        <v/>
      </c>
      <c r="E875" s="16" t="str">
        <f aca="false">IF(Transações!E875&lt;&gt;"",Transações!E875,"")</f>
        <v/>
      </c>
      <c r="F875" s="7" t="str">
        <f aca="false">IF(C875="Compra",D875*E875,IF(C875="Staking",D875*E875,""))</f>
        <v/>
      </c>
      <c r="G875" s="7" t="str">
        <f aca="false">IF(C875="Venda",IF(COUNTIF(A$3:A874,A875)&gt;0,(E875-SUMPRODUCT((A$3:A874=A875)*(C$3:C874="Compra")*F$3:F874)/IF(SUMPRODUCT((A$3:A874=A875)*(C$3:C874="Compra")*D$3:D874)=0,1,SUMPRODUCT((A$3:A874=A875)*(C$3:C874="Compra")*D$3:D874)))*D875,0),"")</f>
        <v/>
      </c>
      <c r="H875" s="7" t="str">
        <f aca="false">IF(C875="Venda",E875*D875,"")</f>
        <v/>
      </c>
    </row>
    <row r="876" customFormat="false" ht="15" hidden="false" customHeight="false" outlineLevel="0" collapsed="false">
      <c r="A876" s="17" t="str">
        <f aca="false">IF(Transações!C876&lt;&gt;"",Transações!C876,"")</f>
        <v/>
      </c>
      <c r="B876" s="17" t="str">
        <f aca="false">IF(Transações!A876&lt;&gt;"",Transações!A876,"")</f>
        <v/>
      </c>
      <c r="C876" s="17" t="str">
        <f aca="false">IF(Transações!B876&lt;&gt;"",Transações!B876,"")</f>
        <v/>
      </c>
      <c r="D876" s="18" t="str">
        <f aca="false">IF(Transações!D876&lt;&gt;"",Transações!D876,"")</f>
        <v/>
      </c>
      <c r="E876" s="19" t="str">
        <f aca="false">IF(Transações!E876&lt;&gt;"",Transações!E876,"")</f>
        <v/>
      </c>
      <c r="F876" s="12" t="str">
        <f aca="false">IF(C876="Compra",D876*E876,IF(C876="Staking",D876*E876,""))</f>
        <v/>
      </c>
      <c r="G876" s="12" t="str">
        <f aca="false">IF(C876="Venda",IF(COUNTIF(A$3:A875,A876)&gt;0,(E876-SUMPRODUCT((A$3:A875=A876)*(C$3:C875="Compra")*F$3:F875)/IF(SUMPRODUCT((A$3:A875=A876)*(C$3:C875="Compra")*D$3:D875)=0,1,SUMPRODUCT((A$3:A875=A876)*(C$3:C875="Compra")*D$3:D875)))*D876,0),"")</f>
        <v/>
      </c>
      <c r="H876" s="12" t="str">
        <f aca="false">IF(C876="Venda",E876*D876,"")</f>
        <v/>
      </c>
    </row>
    <row r="877" customFormat="false" ht="15" hidden="false" customHeight="false" outlineLevel="0" collapsed="false">
      <c r="A877" s="14" t="str">
        <f aca="false">IF(Transações!C877&lt;&gt;"",Transações!C877,"")</f>
        <v/>
      </c>
      <c r="B877" s="14" t="str">
        <f aca="false">IF(Transações!A877&lt;&gt;"",Transações!A877,"")</f>
        <v/>
      </c>
      <c r="C877" s="14" t="str">
        <f aca="false">IF(Transações!B877&lt;&gt;"",Transações!B877,"")</f>
        <v/>
      </c>
      <c r="D877" s="15" t="str">
        <f aca="false">IF(Transações!D877&lt;&gt;"",Transações!D877,"")</f>
        <v/>
      </c>
      <c r="E877" s="16" t="str">
        <f aca="false">IF(Transações!E877&lt;&gt;"",Transações!E877,"")</f>
        <v/>
      </c>
      <c r="F877" s="7" t="str">
        <f aca="false">IF(C877="Compra",D877*E877,IF(C877="Staking",D877*E877,""))</f>
        <v/>
      </c>
      <c r="G877" s="7" t="str">
        <f aca="false">IF(C877="Venda",IF(COUNTIF(A$3:A876,A877)&gt;0,(E877-SUMPRODUCT((A$3:A876=A877)*(C$3:C876="Compra")*F$3:F876)/IF(SUMPRODUCT((A$3:A876=A877)*(C$3:C876="Compra")*D$3:D876)=0,1,SUMPRODUCT((A$3:A876=A877)*(C$3:C876="Compra")*D$3:D876)))*D877,0),"")</f>
        <v/>
      </c>
      <c r="H877" s="7" t="str">
        <f aca="false">IF(C877="Venda",E877*D877,"")</f>
        <v/>
      </c>
    </row>
    <row r="878" customFormat="false" ht="15" hidden="false" customHeight="false" outlineLevel="0" collapsed="false">
      <c r="A878" s="17" t="str">
        <f aca="false">IF(Transações!C878&lt;&gt;"",Transações!C878,"")</f>
        <v/>
      </c>
      <c r="B878" s="17" t="str">
        <f aca="false">IF(Transações!A878&lt;&gt;"",Transações!A878,"")</f>
        <v/>
      </c>
      <c r="C878" s="17" t="str">
        <f aca="false">IF(Transações!B878&lt;&gt;"",Transações!B878,"")</f>
        <v/>
      </c>
      <c r="D878" s="18" t="str">
        <f aca="false">IF(Transações!D878&lt;&gt;"",Transações!D878,"")</f>
        <v/>
      </c>
      <c r="E878" s="19" t="str">
        <f aca="false">IF(Transações!E878&lt;&gt;"",Transações!E878,"")</f>
        <v/>
      </c>
      <c r="F878" s="12" t="str">
        <f aca="false">IF(C878="Compra",D878*E878,IF(C878="Staking",D878*E878,""))</f>
        <v/>
      </c>
      <c r="G878" s="12" t="str">
        <f aca="false">IF(C878="Venda",IF(COUNTIF(A$3:A877,A878)&gt;0,(E878-SUMPRODUCT((A$3:A877=A878)*(C$3:C877="Compra")*F$3:F877)/IF(SUMPRODUCT((A$3:A877=A878)*(C$3:C877="Compra")*D$3:D877)=0,1,SUMPRODUCT((A$3:A877=A878)*(C$3:C877="Compra")*D$3:D877)))*D878,0),"")</f>
        <v/>
      </c>
      <c r="H878" s="12" t="str">
        <f aca="false">IF(C878="Venda",E878*D878,"")</f>
        <v/>
      </c>
    </row>
    <row r="879" customFormat="false" ht="15" hidden="false" customHeight="false" outlineLevel="0" collapsed="false">
      <c r="A879" s="14" t="str">
        <f aca="false">IF(Transações!C879&lt;&gt;"",Transações!C879,"")</f>
        <v/>
      </c>
      <c r="B879" s="14" t="str">
        <f aca="false">IF(Transações!A879&lt;&gt;"",Transações!A879,"")</f>
        <v/>
      </c>
      <c r="C879" s="14" t="str">
        <f aca="false">IF(Transações!B879&lt;&gt;"",Transações!B879,"")</f>
        <v/>
      </c>
      <c r="D879" s="15" t="str">
        <f aca="false">IF(Transações!D879&lt;&gt;"",Transações!D879,"")</f>
        <v/>
      </c>
      <c r="E879" s="16" t="str">
        <f aca="false">IF(Transações!E879&lt;&gt;"",Transações!E879,"")</f>
        <v/>
      </c>
      <c r="F879" s="7" t="str">
        <f aca="false">IF(C879="Compra",D879*E879,IF(C879="Staking",D879*E879,""))</f>
        <v/>
      </c>
      <c r="G879" s="7" t="str">
        <f aca="false">IF(C879="Venda",IF(COUNTIF(A$3:A878,A879)&gt;0,(E879-SUMPRODUCT((A$3:A878=A879)*(C$3:C878="Compra")*F$3:F878)/IF(SUMPRODUCT((A$3:A878=A879)*(C$3:C878="Compra")*D$3:D878)=0,1,SUMPRODUCT((A$3:A878=A879)*(C$3:C878="Compra")*D$3:D878)))*D879,0),"")</f>
        <v/>
      </c>
      <c r="H879" s="7" t="str">
        <f aca="false">IF(C879="Venda",E879*D879,"")</f>
        <v/>
      </c>
    </row>
    <row r="880" customFormat="false" ht="15" hidden="false" customHeight="false" outlineLevel="0" collapsed="false">
      <c r="A880" s="17" t="str">
        <f aca="false">IF(Transações!C880&lt;&gt;"",Transações!C880,"")</f>
        <v/>
      </c>
      <c r="B880" s="17" t="str">
        <f aca="false">IF(Transações!A880&lt;&gt;"",Transações!A880,"")</f>
        <v/>
      </c>
      <c r="C880" s="17" t="str">
        <f aca="false">IF(Transações!B880&lt;&gt;"",Transações!B880,"")</f>
        <v/>
      </c>
      <c r="D880" s="18" t="str">
        <f aca="false">IF(Transações!D880&lt;&gt;"",Transações!D880,"")</f>
        <v/>
      </c>
      <c r="E880" s="19" t="str">
        <f aca="false">IF(Transações!E880&lt;&gt;"",Transações!E880,"")</f>
        <v/>
      </c>
      <c r="F880" s="12" t="str">
        <f aca="false">IF(C880="Compra",D880*E880,IF(C880="Staking",D880*E880,""))</f>
        <v/>
      </c>
      <c r="G880" s="12" t="str">
        <f aca="false">IF(C880="Venda",IF(COUNTIF(A$3:A879,A880)&gt;0,(E880-SUMPRODUCT((A$3:A879=A880)*(C$3:C879="Compra")*F$3:F879)/IF(SUMPRODUCT((A$3:A879=A880)*(C$3:C879="Compra")*D$3:D879)=0,1,SUMPRODUCT((A$3:A879=A880)*(C$3:C879="Compra")*D$3:D879)))*D880,0),"")</f>
        <v/>
      </c>
      <c r="H880" s="12" t="str">
        <f aca="false">IF(C880="Venda",E880*D880,"")</f>
        <v/>
      </c>
    </row>
    <row r="881" customFormat="false" ht="15" hidden="false" customHeight="false" outlineLevel="0" collapsed="false">
      <c r="A881" s="14" t="str">
        <f aca="false">IF(Transações!C881&lt;&gt;"",Transações!C881,"")</f>
        <v/>
      </c>
      <c r="B881" s="14" t="str">
        <f aca="false">IF(Transações!A881&lt;&gt;"",Transações!A881,"")</f>
        <v/>
      </c>
      <c r="C881" s="14" t="str">
        <f aca="false">IF(Transações!B881&lt;&gt;"",Transações!B881,"")</f>
        <v/>
      </c>
      <c r="D881" s="15" t="str">
        <f aca="false">IF(Transações!D881&lt;&gt;"",Transações!D881,"")</f>
        <v/>
      </c>
      <c r="E881" s="16" t="str">
        <f aca="false">IF(Transações!E881&lt;&gt;"",Transações!E881,"")</f>
        <v/>
      </c>
      <c r="F881" s="7" t="str">
        <f aca="false">IF(C881="Compra",D881*E881,IF(C881="Staking",D881*E881,""))</f>
        <v/>
      </c>
      <c r="G881" s="7" t="str">
        <f aca="false">IF(C881="Venda",IF(COUNTIF(A$3:A880,A881)&gt;0,(E881-SUMPRODUCT((A$3:A880=A881)*(C$3:C880="Compra")*F$3:F880)/IF(SUMPRODUCT((A$3:A880=A881)*(C$3:C880="Compra")*D$3:D880)=0,1,SUMPRODUCT((A$3:A880=A881)*(C$3:C880="Compra")*D$3:D880)))*D881,0),"")</f>
        <v/>
      </c>
      <c r="H881" s="7" t="str">
        <f aca="false">IF(C881="Venda",E881*D881,"")</f>
        <v/>
      </c>
    </row>
    <row r="882" customFormat="false" ht="15" hidden="false" customHeight="false" outlineLevel="0" collapsed="false">
      <c r="A882" s="17" t="str">
        <f aca="false">IF(Transações!C882&lt;&gt;"",Transações!C882,"")</f>
        <v/>
      </c>
      <c r="B882" s="17" t="str">
        <f aca="false">IF(Transações!A882&lt;&gt;"",Transações!A882,"")</f>
        <v/>
      </c>
      <c r="C882" s="17" t="str">
        <f aca="false">IF(Transações!B882&lt;&gt;"",Transações!B882,"")</f>
        <v/>
      </c>
      <c r="D882" s="18" t="str">
        <f aca="false">IF(Transações!D882&lt;&gt;"",Transações!D882,"")</f>
        <v/>
      </c>
      <c r="E882" s="19" t="str">
        <f aca="false">IF(Transações!E882&lt;&gt;"",Transações!E882,"")</f>
        <v/>
      </c>
      <c r="F882" s="12" t="str">
        <f aca="false">IF(C882="Compra",D882*E882,IF(C882="Staking",D882*E882,""))</f>
        <v/>
      </c>
      <c r="G882" s="12" t="str">
        <f aca="false">IF(C882="Venda",IF(COUNTIF(A$3:A881,A882)&gt;0,(E882-SUMPRODUCT((A$3:A881=A882)*(C$3:C881="Compra")*F$3:F881)/IF(SUMPRODUCT((A$3:A881=A882)*(C$3:C881="Compra")*D$3:D881)=0,1,SUMPRODUCT((A$3:A881=A882)*(C$3:C881="Compra")*D$3:D881)))*D882,0),"")</f>
        <v/>
      </c>
      <c r="H882" s="12" t="str">
        <f aca="false">IF(C882="Venda",E882*D882,"")</f>
        <v/>
      </c>
    </row>
    <row r="883" customFormat="false" ht="15" hidden="false" customHeight="false" outlineLevel="0" collapsed="false">
      <c r="A883" s="14" t="str">
        <f aca="false">IF(Transações!C883&lt;&gt;"",Transações!C883,"")</f>
        <v/>
      </c>
      <c r="B883" s="14" t="str">
        <f aca="false">IF(Transações!A883&lt;&gt;"",Transações!A883,"")</f>
        <v/>
      </c>
      <c r="C883" s="14" t="str">
        <f aca="false">IF(Transações!B883&lt;&gt;"",Transações!B883,"")</f>
        <v/>
      </c>
      <c r="D883" s="15" t="str">
        <f aca="false">IF(Transações!D883&lt;&gt;"",Transações!D883,"")</f>
        <v/>
      </c>
      <c r="E883" s="16" t="str">
        <f aca="false">IF(Transações!E883&lt;&gt;"",Transações!E883,"")</f>
        <v/>
      </c>
      <c r="F883" s="7" t="str">
        <f aca="false">IF(C883="Compra",D883*E883,IF(C883="Staking",D883*E883,""))</f>
        <v/>
      </c>
      <c r="G883" s="7" t="str">
        <f aca="false">IF(C883="Venda",IF(COUNTIF(A$3:A882,A883)&gt;0,(E883-SUMPRODUCT((A$3:A882=A883)*(C$3:C882="Compra")*F$3:F882)/IF(SUMPRODUCT((A$3:A882=A883)*(C$3:C882="Compra")*D$3:D882)=0,1,SUMPRODUCT((A$3:A882=A883)*(C$3:C882="Compra")*D$3:D882)))*D883,0),"")</f>
        <v/>
      </c>
      <c r="H883" s="7" t="str">
        <f aca="false">IF(C883="Venda",E883*D883,"")</f>
        <v/>
      </c>
    </row>
    <row r="884" customFormat="false" ht="15" hidden="false" customHeight="false" outlineLevel="0" collapsed="false">
      <c r="A884" s="17" t="str">
        <f aca="false">IF(Transações!C884&lt;&gt;"",Transações!C884,"")</f>
        <v/>
      </c>
      <c r="B884" s="17" t="str">
        <f aca="false">IF(Transações!A884&lt;&gt;"",Transações!A884,"")</f>
        <v/>
      </c>
      <c r="C884" s="17" t="str">
        <f aca="false">IF(Transações!B884&lt;&gt;"",Transações!B884,"")</f>
        <v/>
      </c>
      <c r="D884" s="18" t="str">
        <f aca="false">IF(Transações!D884&lt;&gt;"",Transações!D884,"")</f>
        <v/>
      </c>
      <c r="E884" s="19" t="str">
        <f aca="false">IF(Transações!E884&lt;&gt;"",Transações!E884,"")</f>
        <v/>
      </c>
      <c r="F884" s="12" t="str">
        <f aca="false">IF(C884="Compra",D884*E884,IF(C884="Staking",D884*E884,""))</f>
        <v/>
      </c>
      <c r="G884" s="12" t="str">
        <f aca="false">IF(C884="Venda",IF(COUNTIF(A$3:A883,A884)&gt;0,(E884-SUMPRODUCT((A$3:A883=A884)*(C$3:C883="Compra")*F$3:F883)/IF(SUMPRODUCT((A$3:A883=A884)*(C$3:C883="Compra")*D$3:D883)=0,1,SUMPRODUCT((A$3:A883=A884)*(C$3:C883="Compra")*D$3:D883)))*D884,0),"")</f>
        <v/>
      </c>
      <c r="H884" s="12" t="str">
        <f aca="false">IF(C884="Venda",E884*D884,"")</f>
        <v/>
      </c>
    </row>
    <row r="885" customFormat="false" ht="15" hidden="false" customHeight="false" outlineLevel="0" collapsed="false">
      <c r="A885" s="14" t="str">
        <f aca="false">IF(Transações!C885&lt;&gt;"",Transações!C885,"")</f>
        <v/>
      </c>
      <c r="B885" s="14" t="str">
        <f aca="false">IF(Transações!A885&lt;&gt;"",Transações!A885,"")</f>
        <v/>
      </c>
      <c r="C885" s="14" t="str">
        <f aca="false">IF(Transações!B885&lt;&gt;"",Transações!B885,"")</f>
        <v/>
      </c>
      <c r="D885" s="15" t="str">
        <f aca="false">IF(Transações!D885&lt;&gt;"",Transações!D885,"")</f>
        <v/>
      </c>
      <c r="E885" s="16" t="str">
        <f aca="false">IF(Transações!E885&lt;&gt;"",Transações!E885,"")</f>
        <v/>
      </c>
      <c r="F885" s="7" t="str">
        <f aca="false">IF(C885="Compra",D885*E885,IF(C885="Staking",D885*E885,""))</f>
        <v/>
      </c>
      <c r="G885" s="7" t="str">
        <f aca="false">IF(C885="Venda",IF(COUNTIF(A$3:A884,A885)&gt;0,(E885-SUMPRODUCT((A$3:A884=A885)*(C$3:C884="Compra")*F$3:F884)/IF(SUMPRODUCT((A$3:A884=A885)*(C$3:C884="Compra")*D$3:D884)=0,1,SUMPRODUCT((A$3:A884=A885)*(C$3:C884="Compra")*D$3:D884)))*D885,0),"")</f>
        <v/>
      </c>
      <c r="H885" s="7" t="str">
        <f aca="false">IF(C885="Venda",E885*D885,"")</f>
        <v/>
      </c>
    </row>
    <row r="886" customFormat="false" ht="15" hidden="false" customHeight="false" outlineLevel="0" collapsed="false">
      <c r="A886" s="17" t="str">
        <f aca="false">IF(Transações!C886&lt;&gt;"",Transações!C886,"")</f>
        <v/>
      </c>
      <c r="B886" s="17" t="str">
        <f aca="false">IF(Transações!A886&lt;&gt;"",Transações!A886,"")</f>
        <v/>
      </c>
      <c r="C886" s="17" t="str">
        <f aca="false">IF(Transações!B886&lt;&gt;"",Transações!B886,"")</f>
        <v/>
      </c>
      <c r="D886" s="18" t="str">
        <f aca="false">IF(Transações!D886&lt;&gt;"",Transações!D886,"")</f>
        <v/>
      </c>
      <c r="E886" s="19" t="str">
        <f aca="false">IF(Transações!E886&lt;&gt;"",Transações!E886,"")</f>
        <v/>
      </c>
      <c r="F886" s="12" t="str">
        <f aca="false">IF(C886="Compra",D886*E886,IF(C886="Staking",D886*E886,""))</f>
        <v/>
      </c>
      <c r="G886" s="12" t="str">
        <f aca="false">IF(C886="Venda",IF(COUNTIF(A$3:A885,A886)&gt;0,(E886-SUMPRODUCT((A$3:A885=A886)*(C$3:C885="Compra")*F$3:F885)/IF(SUMPRODUCT((A$3:A885=A886)*(C$3:C885="Compra")*D$3:D885)=0,1,SUMPRODUCT((A$3:A885=A886)*(C$3:C885="Compra")*D$3:D885)))*D886,0),"")</f>
        <v/>
      </c>
      <c r="H886" s="12" t="str">
        <f aca="false">IF(C886="Venda",E886*D886,"")</f>
        <v/>
      </c>
    </row>
    <row r="887" customFormat="false" ht="15" hidden="false" customHeight="false" outlineLevel="0" collapsed="false">
      <c r="A887" s="14" t="str">
        <f aca="false">IF(Transações!C887&lt;&gt;"",Transações!C887,"")</f>
        <v/>
      </c>
      <c r="B887" s="14" t="str">
        <f aca="false">IF(Transações!A887&lt;&gt;"",Transações!A887,"")</f>
        <v/>
      </c>
      <c r="C887" s="14" t="str">
        <f aca="false">IF(Transações!B887&lt;&gt;"",Transações!B887,"")</f>
        <v/>
      </c>
      <c r="D887" s="15" t="str">
        <f aca="false">IF(Transações!D887&lt;&gt;"",Transações!D887,"")</f>
        <v/>
      </c>
      <c r="E887" s="16" t="str">
        <f aca="false">IF(Transações!E887&lt;&gt;"",Transações!E887,"")</f>
        <v/>
      </c>
      <c r="F887" s="7" t="str">
        <f aca="false">IF(C887="Compra",D887*E887,IF(C887="Staking",D887*E887,""))</f>
        <v/>
      </c>
      <c r="G887" s="7" t="str">
        <f aca="false">IF(C887="Venda",IF(COUNTIF(A$3:A886,A887)&gt;0,(E887-SUMPRODUCT((A$3:A886=A887)*(C$3:C886="Compra")*F$3:F886)/IF(SUMPRODUCT((A$3:A886=A887)*(C$3:C886="Compra")*D$3:D886)=0,1,SUMPRODUCT((A$3:A886=A887)*(C$3:C886="Compra")*D$3:D886)))*D887,0),"")</f>
        <v/>
      </c>
      <c r="H887" s="7" t="str">
        <f aca="false">IF(C887="Venda",E887*D887,"")</f>
        <v/>
      </c>
    </row>
    <row r="888" customFormat="false" ht="15" hidden="false" customHeight="false" outlineLevel="0" collapsed="false">
      <c r="A888" s="17" t="str">
        <f aca="false">IF(Transações!C888&lt;&gt;"",Transações!C888,"")</f>
        <v/>
      </c>
      <c r="B888" s="17" t="str">
        <f aca="false">IF(Transações!A888&lt;&gt;"",Transações!A888,"")</f>
        <v/>
      </c>
      <c r="C888" s="17" t="str">
        <f aca="false">IF(Transações!B888&lt;&gt;"",Transações!B888,"")</f>
        <v/>
      </c>
      <c r="D888" s="18" t="str">
        <f aca="false">IF(Transações!D888&lt;&gt;"",Transações!D888,"")</f>
        <v/>
      </c>
      <c r="E888" s="19" t="str">
        <f aca="false">IF(Transações!E888&lt;&gt;"",Transações!E888,"")</f>
        <v/>
      </c>
      <c r="F888" s="12" t="str">
        <f aca="false">IF(C888="Compra",D888*E888,IF(C888="Staking",D888*E888,""))</f>
        <v/>
      </c>
      <c r="G888" s="12" t="str">
        <f aca="false">IF(C888="Venda",IF(COUNTIF(A$3:A887,A888)&gt;0,(E888-SUMPRODUCT((A$3:A887=A888)*(C$3:C887="Compra")*F$3:F887)/IF(SUMPRODUCT((A$3:A887=A888)*(C$3:C887="Compra")*D$3:D887)=0,1,SUMPRODUCT((A$3:A887=A888)*(C$3:C887="Compra")*D$3:D887)))*D888,0),"")</f>
        <v/>
      </c>
      <c r="H888" s="12" t="str">
        <f aca="false">IF(C888="Venda",E888*D888,"")</f>
        <v/>
      </c>
    </row>
    <row r="889" customFormat="false" ht="15" hidden="false" customHeight="false" outlineLevel="0" collapsed="false">
      <c r="A889" s="14" t="str">
        <f aca="false">IF(Transações!C889&lt;&gt;"",Transações!C889,"")</f>
        <v/>
      </c>
      <c r="B889" s="14" t="str">
        <f aca="false">IF(Transações!A889&lt;&gt;"",Transações!A889,"")</f>
        <v/>
      </c>
      <c r="C889" s="14" t="str">
        <f aca="false">IF(Transações!B889&lt;&gt;"",Transações!B889,"")</f>
        <v/>
      </c>
      <c r="D889" s="15" t="str">
        <f aca="false">IF(Transações!D889&lt;&gt;"",Transações!D889,"")</f>
        <v/>
      </c>
      <c r="E889" s="16" t="str">
        <f aca="false">IF(Transações!E889&lt;&gt;"",Transações!E889,"")</f>
        <v/>
      </c>
      <c r="F889" s="7" t="str">
        <f aca="false">IF(C889="Compra",D889*E889,IF(C889="Staking",D889*E889,""))</f>
        <v/>
      </c>
      <c r="G889" s="7" t="str">
        <f aca="false">IF(C889="Venda",IF(COUNTIF(A$3:A888,A889)&gt;0,(E889-SUMPRODUCT((A$3:A888=A889)*(C$3:C888="Compra")*F$3:F888)/IF(SUMPRODUCT((A$3:A888=A889)*(C$3:C888="Compra")*D$3:D888)=0,1,SUMPRODUCT((A$3:A888=A889)*(C$3:C888="Compra")*D$3:D888)))*D889,0),"")</f>
        <v/>
      </c>
      <c r="H889" s="7" t="str">
        <f aca="false">IF(C889="Venda",E889*D889,"")</f>
        <v/>
      </c>
    </row>
    <row r="890" customFormat="false" ht="15" hidden="false" customHeight="false" outlineLevel="0" collapsed="false">
      <c r="A890" s="17" t="str">
        <f aca="false">IF(Transações!C890&lt;&gt;"",Transações!C890,"")</f>
        <v/>
      </c>
      <c r="B890" s="17" t="str">
        <f aca="false">IF(Transações!A890&lt;&gt;"",Transações!A890,"")</f>
        <v/>
      </c>
      <c r="C890" s="17" t="str">
        <f aca="false">IF(Transações!B890&lt;&gt;"",Transações!B890,"")</f>
        <v/>
      </c>
      <c r="D890" s="18" t="str">
        <f aca="false">IF(Transações!D890&lt;&gt;"",Transações!D890,"")</f>
        <v/>
      </c>
      <c r="E890" s="19" t="str">
        <f aca="false">IF(Transações!E890&lt;&gt;"",Transações!E890,"")</f>
        <v/>
      </c>
      <c r="F890" s="12" t="str">
        <f aca="false">IF(C890="Compra",D890*E890,IF(C890="Staking",D890*E890,""))</f>
        <v/>
      </c>
      <c r="G890" s="12" t="str">
        <f aca="false">IF(C890="Venda",IF(COUNTIF(A$3:A889,A890)&gt;0,(E890-SUMPRODUCT((A$3:A889=A890)*(C$3:C889="Compra")*F$3:F889)/IF(SUMPRODUCT((A$3:A889=A890)*(C$3:C889="Compra")*D$3:D889)=0,1,SUMPRODUCT((A$3:A889=A890)*(C$3:C889="Compra")*D$3:D889)))*D890,0),"")</f>
        <v/>
      </c>
      <c r="H890" s="12" t="str">
        <f aca="false">IF(C890="Venda",E890*D890,"")</f>
        <v/>
      </c>
    </row>
    <row r="891" customFormat="false" ht="15" hidden="false" customHeight="false" outlineLevel="0" collapsed="false">
      <c r="A891" s="14" t="str">
        <f aca="false">IF(Transações!C891&lt;&gt;"",Transações!C891,"")</f>
        <v/>
      </c>
      <c r="B891" s="14" t="str">
        <f aca="false">IF(Transações!A891&lt;&gt;"",Transações!A891,"")</f>
        <v/>
      </c>
      <c r="C891" s="14" t="str">
        <f aca="false">IF(Transações!B891&lt;&gt;"",Transações!B891,"")</f>
        <v/>
      </c>
      <c r="D891" s="15" t="str">
        <f aca="false">IF(Transações!D891&lt;&gt;"",Transações!D891,"")</f>
        <v/>
      </c>
      <c r="E891" s="16" t="str">
        <f aca="false">IF(Transações!E891&lt;&gt;"",Transações!E891,"")</f>
        <v/>
      </c>
      <c r="F891" s="7" t="str">
        <f aca="false">IF(C891="Compra",D891*E891,IF(C891="Staking",D891*E891,""))</f>
        <v/>
      </c>
      <c r="G891" s="7" t="str">
        <f aca="false">IF(C891="Venda",IF(COUNTIF(A$3:A890,A891)&gt;0,(E891-SUMPRODUCT((A$3:A890=A891)*(C$3:C890="Compra")*F$3:F890)/IF(SUMPRODUCT((A$3:A890=A891)*(C$3:C890="Compra")*D$3:D890)=0,1,SUMPRODUCT((A$3:A890=A891)*(C$3:C890="Compra")*D$3:D890)))*D891,0),"")</f>
        <v/>
      </c>
      <c r="H891" s="7" t="str">
        <f aca="false">IF(C891="Venda",E891*D891,"")</f>
        <v/>
      </c>
    </row>
    <row r="892" customFormat="false" ht="15" hidden="false" customHeight="false" outlineLevel="0" collapsed="false">
      <c r="A892" s="17" t="str">
        <f aca="false">IF(Transações!C892&lt;&gt;"",Transações!C892,"")</f>
        <v/>
      </c>
      <c r="B892" s="17" t="str">
        <f aca="false">IF(Transações!A892&lt;&gt;"",Transações!A892,"")</f>
        <v/>
      </c>
      <c r="C892" s="17" t="str">
        <f aca="false">IF(Transações!B892&lt;&gt;"",Transações!B892,"")</f>
        <v/>
      </c>
      <c r="D892" s="18" t="str">
        <f aca="false">IF(Transações!D892&lt;&gt;"",Transações!D892,"")</f>
        <v/>
      </c>
      <c r="E892" s="19" t="str">
        <f aca="false">IF(Transações!E892&lt;&gt;"",Transações!E892,"")</f>
        <v/>
      </c>
      <c r="F892" s="12" t="str">
        <f aca="false">IF(C892="Compra",D892*E892,IF(C892="Staking",D892*E892,""))</f>
        <v/>
      </c>
      <c r="G892" s="12" t="str">
        <f aca="false">IF(C892="Venda",IF(COUNTIF(A$3:A891,A892)&gt;0,(E892-SUMPRODUCT((A$3:A891=A892)*(C$3:C891="Compra")*F$3:F891)/IF(SUMPRODUCT((A$3:A891=A892)*(C$3:C891="Compra")*D$3:D891)=0,1,SUMPRODUCT((A$3:A891=A892)*(C$3:C891="Compra")*D$3:D891)))*D892,0),"")</f>
        <v/>
      </c>
      <c r="H892" s="12" t="str">
        <f aca="false">IF(C892="Venda",E892*D892,"")</f>
        <v/>
      </c>
    </row>
    <row r="893" customFormat="false" ht="15" hidden="false" customHeight="false" outlineLevel="0" collapsed="false">
      <c r="A893" s="14" t="str">
        <f aca="false">IF(Transações!C893&lt;&gt;"",Transações!C893,"")</f>
        <v/>
      </c>
      <c r="B893" s="14" t="str">
        <f aca="false">IF(Transações!A893&lt;&gt;"",Transações!A893,"")</f>
        <v/>
      </c>
      <c r="C893" s="14" t="str">
        <f aca="false">IF(Transações!B893&lt;&gt;"",Transações!B893,"")</f>
        <v/>
      </c>
      <c r="D893" s="15" t="str">
        <f aca="false">IF(Transações!D893&lt;&gt;"",Transações!D893,"")</f>
        <v/>
      </c>
      <c r="E893" s="16" t="str">
        <f aca="false">IF(Transações!E893&lt;&gt;"",Transações!E893,"")</f>
        <v/>
      </c>
      <c r="F893" s="7" t="str">
        <f aca="false">IF(C893="Compra",D893*E893,IF(C893="Staking",D893*E893,""))</f>
        <v/>
      </c>
      <c r="G893" s="7" t="str">
        <f aca="false">IF(C893="Venda",IF(COUNTIF(A$3:A892,A893)&gt;0,(E893-SUMPRODUCT((A$3:A892=A893)*(C$3:C892="Compra")*F$3:F892)/IF(SUMPRODUCT((A$3:A892=A893)*(C$3:C892="Compra")*D$3:D892)=0,1,SUMPRODUCT((A$3:A892=A893)*(C$3:C892="Compra")*D$3:D892)))*D893,0),"")</f>
        <v/>
      </c>
      <c r="H893" s="7" t="str">
        <f aca="false">IF(C893="Venda",E893*D893,"")</f>
        <v/>
      </c>
    </row>
    <row r="894" customFormat="false" ht="15" hidden="false" customHeight="false" outlineLevel="0" collapsed="false">
      <c r="A894" s="17" t="str">
        <f aca="false">IF(Transações!C894&lt;&gt;"",Transações!C894,"")</f>
        <v/>
      </c>
      <c r="B894" s="17" t="str">
        <f aca="false">IF(Transações!A894&lt;&gt;"",Transações!A894,"")</f>
        <v/>
      </c>
      <c r="C894" s="17" t="str">
        <f aca="false">IF(Transações!B894&lt;&gt;"",Transações!B894,"")</f>
        <v/>
      </c>
      <c r="D894" s="18" t="str">
        <f aca="false">IF(Transações!D894&lt;&gt;"",Transações!D894,"")</f>
        <v/>
      </c>
      <c r="E894" s="19" t="str">
        <f aca="false">IF(Transações!E894&lt;&gt;"",Transações!E894,"")</f>
        <v/>
      </c>
      <c r="F894" s="12" t="str">
        <f aca="false">IF(C894="Compra",D894*E894,IF(C894="Staking",D894*E894,""))</f>
        <v/>
      </c>
      <c r="G894" s="12" t="str">
        <f aca="false">IF(C894="Venda",IF(COUNTIF(A$3:A893,A894)&gt;0,(E894-SUMPRODUCT((A$3:A893=A894)*(C$3:C893="Compra")*F$3:F893)/IF(SUMPRODUCT((A$3:A893=A894)*(C$3:C893="Compra")*D$3:D893)=0,1,SUMPRODUCT((A$3:A893=A894)*(C$3:C893="Compra")*D$3:D893)))*D894,0),"")</f>
        <v/>
      </c>
      <c r="H894" s="12" t="str">
        <f aca="false">IF(C894="Venda",E894*D894,"")</f>
        <v/>
      </c>
    </row>
    <row r="895" customFormat="false" ht="15" hidden="false" customHeight="false" outlineLevel="0" collapsed="false">
      <c r="A895" s="14" t="str">
        <f aca="false">IF(Transações!C895&lt;&gt;"",Transações!C895,"")</f>
        <v/>
      </c>
      <c r="B895" s="14" t="str">
        <f aca="false">IF(Transações!A895&lt;&gt;"",Transações!A895,"")</f>
        <v/>
      </c>
      <c r="C895" s="14" t="str">
        <f aca="false">IF(Transações!B895&lt;&gt;"",Transações!B895,"")</f>
        <v/>
      </c>
      <c r="D895" s="15" t="str">
        <f aca="false">IF(Transações!D895&lt;&gt;"",Transações!D895,"")</f>
        <v/>
      </c>
      <c r="E895" s="16" t="str">
        <f aca="false">IF(Transações!E895&lt;&gt;"",Transações!E895,"")</f>
        <v/>
      </c>
      <c r="F895" s="7" t="str">
        <f aca="false">IF(C895="Compra",D895*E895,IF(C895="Staking",D895*E895,""))</f>
        <v/>
      </c>
      <c r="G895" s="7" t="str">
        <f aca="false">IF(C895="Venda",IF(COUNTIF(A$3:A894,A895)&gt;0,(E895-SUMPRODUCT((A$3:A894=A895)*(C$3:C894="Compra")*F$3:F894)/IF(SUMPRODUCT((A$3:A894=A895)*(C$3:C894="Compra")*D$3:D894)=0,1,SUMPRODUCT((A$3:A894=A895)*(C$3:C894="Compra")*D$3:D894)))*D895,0),"")</f>
        <v/>
      </c>
      <c r="H895" s="7" t="str">
        <f aca="false">IF(C895="Venda",E895*D895,"")</f>
        <v/>
      </c>
    </row>
    <row r="896" customFormat="false" ht="15" hidden="false" customHeight="false" outlineLevel="0" collapsed="false">
      <c r="A896" s="17" t="str">
        <f aca="false">IF(Transações!C896&lt;&gt;"",Transações!C896,"")</f>
        <v/>
      </c>
      <c r="B896" s="17" t="str">
        <f aca="false">IF(Transações!A896&lt;&gt;"",Transações!A896,"")</f>
        <v/>
      </c>
      <c r="C896" s="17" t="str">
        <f aca="false">IF(Transações!B896&lt;&gt;"",Transações!B896,"")</f>
        <v/>
      </c>
      <c r="D896" s="18" t="str">
        <f aca="false">IF(Transações!D896&lt;&gt;"",Transações!D896,"")</f>
        <v/>
      </c>
      <c r="E896" s="19" t="str">
        <f aca="false">IF(Transações!E896&lt;&gt;"",Transações!E896,"")</f>
        <v/>
      </c>
      <c r="F896" s="12" t="str">
        <f aca="false">IF(C896="Compra",D896*E896,IF(C896="Staking",D896*E896,""))</f>
        <v/>
      </c>
      <c r="G896" s="12" t="str">
        <f aca="false">IF(C896="Venda",IF(COUNTIF(A$3:A895,A896)&gt;0,(E896-SUMPRODUCT((A$3:A895=A896)*(C$3:C895="Compra")*F$3:F895)/IF(SUMPRODUCT((A$3:A895=A896)*(C$3:C895="Compra")*D$3:D895)=0,1,SUMPRODUCT((A$3:A895=A896)*(C$3:C895="Compra")*D$3:D895)))*D896,0),"")</f>
        <v/>
      </c>
      <c r="H896" s="12" t="str">
        <f aca="false">IF(C896="Venda",E896*D896,"")</f>
        <v/>
      </c>
    </row>
    <row r="897" customFormat="false" ht="15" hidden="false" customHeight="false" outlineLevel="0" collapsed="false">
      <c r="A897" s="14" t="str">
        <f aca="false">IF(Transações!C897&lt;&gt;"",Transações!C897,"")</f>
        <v/>
      </c>
      <c r="B897" s="14" t="str">
        <f aca="false">IF(Transações!A897&lt;&gt;"",Transações!A897,"")</f>
        <v/>
      </c>
      <c r="C897" s="14" t="str">
        <f aca="false">IF(Transações!B897&lt;&gt;"",Transações!B897,"")</f>
        <v/>
      </c>
      <c r="D897" s="15" t="str">
        <f aca="false">IF(Transações!D897&lt;&gt;"",Transações!D897,"")</f>
        <v/>
      </c>
      <c r="E897" s="16" t="str">
        <f aca="false">IF(Transações!E897&lt;&gt;"",Transações!E897,"")</f>
        <v/>
      </c>
      <c r="F897" s="7" t="str">
        <f aca="false">IF(C897="Compra",D897*E897,IF(C897="Staking",D897*E897,""))</f>
        <v/>
      </c>
      <c r="G897" s="7" t="str">
        <f aca="false">IF(C897="Venda",IF(COUNTIF(A$3:A896,A897)&gt;0,(E897-SUMPRODUCT((A$3:A896=A897)*(C$3:C896="Compra")*F$3:F896)/IF(SUMPRODUCT((A$3:A896=A897)*(C$3:C896="Compra")*D$3:D896)=0,1,SUMPRODUCT((A$3:A896=A897)*(C$3:C896="Compra")*D$3:D896)))*D897,0),"")</f>
        <v/>
      </c>
      <c r="H897" s="7" t="str">
        <f aca="false">IF(C897="Venda",E897*D897,"")</f>
        <v/>
      </c>
    </row>
    <row r="898" customFormat="false" ht="15" hidden="false" customHeight="false" outlineLevel="0" collapsed="false">
      <c r="A898" s="17" t="str">
        <f aca="false">IF(Transações!C898&lt;&gt;"",Transações!C898,"")</f>
        <v/>
      </c>
      <c r="B898" s="17" t="str">
        <f aca="false">IF(Transações!A898&lt;&gt;"",Transações!A898,"")</f>
        <v/>
      </c>
      <c r="C898" s="17" t="str">
        <f aca="false">IF(Transações!B898&lt;&gt;"",Transações!B898,"")</f>
        <v/>
      </c>
      <c r="D898" s="18" t="str">
        <f aca="false">IF(Transações!D898&lt;&gt;"",Transações!D898,"")</f>
        <v/>
      </c>
      <c r="E898" s="19" t="str">
        <f aca="false">IF(Transações!E898&lt;&gt;"",Transações!E898,"")</f>
        <v/>
      </c>
      <c r="F898" s="12" t="str">
        <f aca="false">IF(C898="Compra",D898*E898,IF(C898="Staking",D898*E898,""))</f>
        <v/>
      </c>
      <c r="G898" s="12" t="str">
        <f aca="false">IF(C898="Venda",IF(COUNTIF(A$3:A897,A898)&gt;0,(E898-SUMPRODUCT((A$3:A897=A898)*(C$3:C897="Compra")*F$3:F897)/IF(SUMPRODUCT((A$3:A897=A898)*(C$3:C897="Compra")*D$3:D897)=0,1,SUMPRODUCT((A$3:A897=A898)*(C$3:C897="Compra")*D$3:D897)))*D898,0),"")</f>
        <v/>
      </c>
      <c r="H898" s="12" t="str">
        <f aca="false">IF(C898="Venda",E898*D898,"")</f>
        <v/>
      </c>
    </row>
    <row r="899" customFormat="false" ht="15" hidden="false" customHeight="false" outlineLevel="0" collapsed="false">
      <c r="A899" s="14" t="str">
        <f aca="false">IF(Transações!C899&lt;&gt;"",Transações!C899,"")</f>
        <v/>
      </c>
      <c r="B899" s="14" t="str">
        <f aca="false">IF(Transações!A899&lt;&gt;"",Transações!A899,"")</f>
        <v/>
      </c>
      <c r="C899" s="14" t="str">
        <f aca="false">IF(Transações!B899&lt;&gt;"",Transações!B899,"")</f>
        <v/>
      </c>
      <c r="D899" s="15" t="str">
        <f aca="false">IF(Transações!D899&lt;&gt;"",Transações!D899,"")</f>
        <v/>
      </c>
      <c r="E899" s="16" t="str">
        <f aca="false">IF(Transações!E899&lt;&gt;"",Transações!E899,"")</f>
        <v/>
      </c>
      <c r="F899" s="7" t="str">
        <f aca="false">IF(C899="Compra",D899*E899,IF(C899="Staking",D899*E899,""))</f>
        <v/>
      </c>
      <c r="G899" s="7" t="str">
        <f aca="false">IF(C899="Venda",IF(COUNTIF(A$3:A898,A899)&gt;0,(E899-SUMPRODUCT((A$3:A898=A899)*(C$3:C898="Compra")*F$3:F898)/IF(SUMPRODUCT((A$3:A898=A899)*(C$3:C898="Compra")*D$3:D898)=0,1,SUMPRODUCT((A$3:A898=A899)*(C$3:C898="Compra")*D$3:D898)))*D899,0),"")</f>
        <v/>
      </c>
      <c r="H899" s="7" t="str">
        <f aca="false">IF(C899="Venda",E899*D899,"")</f>
        <v/>
      </c>
    </row>
    <row r="900" customFormat="false" ht="15" hidden="false" customHeight="false" outlineLevel="0" collapsed="false">
      <c r="A900" s="17" t="str">
        <f aca="false">IF(Transações!C900&lt;&gt;"",Transações!C900,"")</f>
        <v/>
      </c>
      <c r="B900" s="17" t="str">
        <f aca="false">IF(Transações!A900&lt;&gt;"",Transações!A900,"")</f>
        <v/>
      </c>
      <c r="C900" s="17" t="str">
        <f aca="false">IF(Transações!B900&lt;&gt;"",Transações!B900,"")</f>
        <v/>
      </c>
      <c r="D900" s="18" t="str">
        <f aca="false">IF(Transações!D900&lt;&gt;"",Transações!D900,"")</f>
        <v/>
      </c>
      <c r="E900" s="19" t="str">
        <f aca="false">IF(Transações!E900&lt;&gt;"",Transações!E900,"")</f>
        <v/>
      </c>
      <c r="F900" s="12" t="str">
        <f aca="false">IF(C900="Compra",D900*E900,IF(C900="Staking",D900*E900,""))</f>
        <v/>
      </c>
      <c r="G900" s="12" t="str">
        <f aca="false">IF(C900="Venda",IF(COUNTIF(A$3:A899,A900)&gt;0,(E900-SUMPRODUCT((A$3:A899=A900)*(C$3:C899="Compra")*F$3:F899)/IF(SUMPRODUCT((A$3:A899=A900)*(C$3:C899="Compra")*D$3:D899)=0,1,SUMPRODUCT((A$3:A899=A900)*(C$3:C899="Compra")*D$3:D899)))*D900,0),"")</f>
        <v/>
      </c>
      <c r="H900" s="12" t="str">
        <f aca="false">IF(C900="Venda",E900*D900,"")</f>
        <v/>
      </c>
    </row>
    <row r="901" customFormat="false" ht="15" hidden="false" customHeight="false" outlineLevel="0" collapsed="false">
      <c r="A901" s="14" t="str">
        <f aca="false">IF(Transações!C901&lt;&gt;"",Transações!C901,"")</f>
        <v/>
      </c>
      <c r="B901" s="14" t="str">
        <f aca="false">IF(Transações!A901&lt;&gt;"",Transações!A901,"")</f>
        <v/>
      </c>
      <c r="C901" s="14" t="str">
        <f aca="false">IF(Transações!B901&lt;&gt;"",Transações!B901,"")</f>
        <v/>
      </c>
      <c r="D901" s="15" t="str">
        <f aca="false">IF(Transações!D901&lt;&gt;"",Transações!D901,"")</f>
        <v/>
      </c>
      <c r="E901" s="16" t="str">
        <f aca="false">IF(Transações!E901&lt;&gt;"",Transações!E901,"")</f>
        <v/>
      </c>
      <c r="F901" s="7" t="str">
        <f aca="false">IF(C901="Compra",D901*E901,IF(C901="Staking",D901*E901,""))</f>
        <v/>
      </c>
      <c r="G901" s="7" t="str">
        <f aca="false">IF(C901="Venda",IF(COUNTIF(A$3:A900,A901)&gt;0,(E901-SUMPRODUCT((A$3:A900=A901)*(C$3:C900="Compra")*F$3:F900)/IF(SUMPRODUCT((A$3:A900=A901)*(C$3:C900="Compra")*D$3:D900)=0,1,SUMPRODUCT((A$3:A900=A901)*(C$3:C900="Compra")*D$3:D900)))*D901,0),"")</f>
        <v/>
      </c>
      <c r="H901" s="7" t="str">
        <f aca="false">IF(C901="Venda",E901*D901,"")</f>
        <v/>
      </c>
    </row>
    <row r="902" customFormat="false" ht="15" hidden="false" customHeight="false" outlineLevel="0" collapsed="false">
      <c r="A902" s="17" t="str">
        <f aca="false">IF(Transações!C902&lt;&gt;"",Transações!C902,"")</f>
        <v/>
      </c>
      <c r="B902" s="17" t="str">
        <f aca="false">IF(Transações!A902&lt;&gt;"",Transações!A902,"")</f>
        <v/>
      </c>
      <c r="C902" s="17" t="str">
        <f aca="false">IF(Transações!B902&lt;&gt;"",Transações!B902,"")</f>
        <v/>
      </c>
      <c r="D902" s="18" t="str">
        <f aca="false">IF(Transações!D902&lt;&gt;"",Transações!D902,"")</f>
        <v/>
      </c>
      <c r="E902" s="19" t="str">
        <f aca="false">IF(Transações!E902&lt;&gt;"",Transações!E902,"")</f>
        <v/>
      </c>
      <c r="F902" s="12" t="str">
        <f aca="false">IF(C902="Compra",D902*E902,IF(C902="Staking",D902*E902,""))</f>
        <v/>
      </c>
      <c r="G902" s="12" t="str">
        <f aca="false">IF(C902="Venda",IF(COUNTIF(A$3:A901,A902)&gt;0,(E902-SUMPRODUCT((A$3:A901=A902)*(C$3:C901="Compra")*F$3:F901)/IF(SUMPRODUCT((A$3:A901=A902)*(C$3:C901="Compra")*D$3:D901)=0,1,SUMPRODUCT((A$3:A901=A902)*(C$3:C901="Compra")*D$3:D901)))*D902,0),"")</f>
        <v/>
      </c>
      <c r="H902" s="12" t="str">
        <f aca="false">IF(C902="Venda",E902*D902,"")</f>
        <v/>
      </c>
    </row>
    <row r="903" customFormat="false" ht="15" hidden="false" customHeight="false" outlineLevel="0" collapsed="false">
      <c r="A903" s="14" t="str">
        <f aca="false">IF(Transações!C903&lt;&gt;"",Transações!C903,"")</f>
        <v/>
      </c>
      <c r="B903" s="14" t="str">
        <f aca="false">IF(Transações!A903&lt;&gt;"",Transações!A903,"")</f>
        <v/>
      </c>
      <c r="C903" s="14" t="str">
        <f aca="false">IF(Transações!B903&lt;&gt;"",Transações!B903,"")</f>
        <v/>
      </c>
      <c r="D903" s="15" t="str">
        <f aca="false">IF(Transações!D903&lt;&gt;"",Transações!D903,"")</f>
        <v/>
      </c>
      <c r="E903" s="16" t="str">
        <f aca="false">IF(Transações!E903&lt;&gt;"",Transações!E903,"")</f>
        <v/>
      </c>
      <c r="F903" s="7" t="str">
        <f aca="false">IF(C903="Compra",D903*E903,IF(C903="Staking",D903*E903,""))</f>
        <v/>
      </c>
      <c r="G903" s="7" t="str">
        <f aca="false">IF(C903="Venda",IF(COUNTIF(A$3:A902,A903)&gt;0,(E903-SUMPRODUCT((A$3:A902=A903)*(C$3:C902="Compra")*F$3:F902)/IF(SUMPRODUCT((A$3:A902=A903)*(C$3:C902="Compra")*D$3:D902)=0,1,SUMPRODUCT((A$3:A902=A903)*(C$3:C902="Compra")*D$3:D902)))*D903,0),"")</f>
        <v/>
      </c>
      <c r="H903" s="7" t="str">
        <f aca="false">IF(C903="Venda",E903*D903,"")</f>
        <v/>
      </c>
    </row>
    <row r="904" customFormat="false" ht="15" hidden="false" customHeight="false" outlineLevel="0" collapsed="false">
      <c r="A904" s="17" t="str">
        <f aca="false">IF(Transações!C904&lt;&gt;"",Transações!C904,"")</f>
        <v/>
      </c>
      <c r="B904" s="17" t="str">
        <f aca="false">IF(Transações!A904&lt;&gt;"",Transações!A904,"")</f>
        <v/>
      </c>
      <c r="C904" s="17" t="str">
        <f aca="false">IF(Transações!B904&lt;&gt;"",Transações!B904,"")</f>
        <v/>
      </c>
      <c r="D904" s="18" t="str">
        <f aca="false">IF(Transações!D904&lt;&gt;"",Transações!D904,"")</f>
        <v/>
      </c>
      <c r="E904" s="19" t="str">
        <f aca="false">IF(Transações!E904&lt;&gt;"",Transações!E904,"")</f>
        <v/>
      </c>
      <c r="F904" s="12" t="str">
        <f aca="false">IF(C904="Compra",D904*E904,IF(C904="Staking",D904*E904,""))</f>
        <v/>
      </c>
      <c r="G904" s="12" t="str">
        <f aca="false">IF(C904="Venda",IF(COUNTIF(A$3:A903,A904)&gt;0,(E904-SUMPRODUCT((A$3:A903=A904)*(C$3:C903="Compra")*F$3:F903)/IF(SUMPRODUCT((A$3:A903=A904)*(C$3:C903="Compra")*D$3:D903)=0,1,SUMPRODUCT((A$3:A903=A904)*(C$3:C903="Compra")*D$3:D903)))*D904,0),"")</f>
        <v/>
      </c>
      <c r="H904" s="12" t="str">
        <f aca="false">IF(C904="Venda",E904*D904,"")</f>
        <v/>
      </c>
    </row>
    <row r="905" customFormat="false" ht="15" hidden="false" customHeight="false" outlineLevel="0" collapsed="false">
      <c r="A905" s="14" t="str">
        <f aca="false">IF(Transações!C905&lt;&gt;"",Transações!C905,"")</f>
        <v/>
      </c>
      <c r="B905" s="14" t="str">
        <f aca="false">IF(Transações!A905&lt;&gt;"",Transações!A905,"")</f>
        <v/>
      </c>
      <c r="C905" s="14" t="str">
        <f aca="false">IF(Transações!B905&lt;&gt;"",Transações!B905,"")</f>
        <v/>
      </c>
      <c r="D905" s="15" t="str">
        <f aca="false">IF(Transações!D905&lt;&gt;"",Transações!D905,"")</f>
        <v/>
      </c>
      <c r="E905" s="16" t="str">
        <f aca="false">IF(Transações!E905&lt;&gt;"",Transações!E905,"")</f>
        <v/>
      </c>
      <c r="F905" s="7" t="str">
        <f aca="false">IF(C905="Compra",D905*E905,IF(C905="Staking",D905*E905,""))</f>
        <v/>
      </c>
      <c r="G905" s="7" t="str">
        <f aca="false">IF(C905="Venda",IF(COUNTIF(A$3:A904,A905)&gt;0,(E905-SUMPRODUCT((A$3:A904=A905)*(C$3:C904="Compra")*F$3:F904)/IF(SUMPRODUCT((A$3:A904=A905)*(C$3:C904="Compra")*D$3:D904)=0,1,SUMPRODUCT((A$3:A904=A905)*(C$3:C904="Compra")*D$3:D904)))*D905,0),"")</f>
        <v/>
      </c>
      <c r="H905" s="7" t="str">
        <f aca="false">IF(C905="Venda",E905*D905,"")</f>
        <v/>
      </c>
    </row>
    <row r="906" customFormat="false" ht="15" hidden="false" customHeight="false" outlineLevel="0" collapsed="false">
      <c r="A906" s="17" t="str">
        <f aca="false">IF(Transações!C906&lt;&gt;"",Transações!C906,"")</f>
        <v/>
      </c>
      <c r="B906" s="17" t="str">
        <f aca="false">IF(Transações!A906&lt;&gt;"",Transações!A906,"")</f>
        <v/>
      </c>
      <c r="C906" s="17" t="str">
        <f aca="false">IF(Transações!B906&lt;&gt;"",Transações!B906,"")</f>
        <v/>
      </c>
      <c r="D906" s="18" t="str">
        <f aca="false">IF(Transações!D906&lt;&gt;"",Transações!D906,"")</f>
        <v/>
      </c>
      <c r="E906" s="19" t="str">
        <f aca="false">IF(Transações!E906&lt;&gt;"",Transações!E906,"")</f>
        <v/>
      </c>
      <c r="F906" s="12" t="str">
        <f aca="false">IF(C906="Compra",D906*E906,IF(C906="Staking",D906*E906,""))</f>
        <v/>
      </c>
      <c r="G906" s="12" t="str">
        <f aca="false">IF(C906="Venda",IF(COUNTIF(A$3:A905,A906)&gt;0,(E906-SUMPRODUCT((A$3:A905=A906)*(C$3:C905="Compra")*F$3:F905)/IF(SUMPRODUCT((A$3:A905=A906)*(C$3:C905="Compra")*D$3:D905)=0,1,SUMPRODUCT((A$3:A905=A906)*(C$3:C905="Compra")*D$3:D905)))*D906,0),"")</f>
        <v/>
      </c>
      <c r="H906" s="12" t="str">
        <f aca="false">IF(C906="Venda",E906*D906,"")</f>
        <v/>
      </c>
    </row>
    <row r="907" customFormat="false" ht="15" hidden="false" customHeight="false" outlineLevel="0" collapsed="false">
      <c r="A907" s="14" t="str">
        <f aca="false">IF(Transações!C907&lt;&gt;"",Transações!C907,"")</f>
        <v/>
      </c>
      <c r="B907" s="14" t="str">
        <f aca="false">IF(Transações!A907&lt;&gt;"",Transações!A907,"")</f>
        <v/>
      </c>
      <c r="C907" s="14" t="str">
        <f aca="false">IF(Transações!B907&lt;&gt;"",Transações!B907,"")</f>
        <v/>
      </c>
      <c r="D907" s="15" t="str">
        <f aca="false">IF(Transações!D907&lt;&gt;"",Transações!D907,"")</f>
        <v/>
      </c>
      <c r="E907" s="16" t="str">
        <f aca="false">IF(Transações!E907&lt;&gt;"",Transações!E907,"")</f>
        <v/>
      </c>
      <c r="F907" s="7" t="str">
        <f aca="false">IF(C907="Compra",D907*E907,IF(C907="Staking",D907*E907,""))</f>
        <v/>
      </c>
      <c r="G907" s="7" t="str">
        <f aca="false">IF(C907="Venda",IF(COUNTIF(A$3:A906,A907)&gt;0,(E907-SUMPRODUCT((A$3:A906=A907)*(C$3:C906="Compra")*F$3:F906)/IF(SUMPRODUCT((A$3:A906=A907)*(C$3:C906="Compra")*D$3:D906)=0,1,SUMPRODUCT((A$3:A906=A907)*(C$3:C906="Compra")*D$3:D906)))*D907,0),"")</f>
        <v/>
      </c>
      <c r="H907" s="7" t="str">
        <f aca="false">IF(C907="Venda",E907*D907,"")</f>
        <v/>
      </c>
    </row>
    <row r="908" customFormat="false" ht="15" hidden="false" customHeight="false" outlineLevel="0" collapsed="false">
      <c r="A908" s="17" t="str">
        <f aca="false">IF(Transações!C908&lt;&gt;"",Transações!C908,"")</f>
        <v/>
      </c>
      <c r="B908" s="17" t="str">
        <f aca="false">IF(Transações!A908&lt;&gt;"",Transações!A908,"")</f>
        <v/>
      </c>
      <c r="C908" s="17" t="str">
        <f aca="false">IF(Transações!B908&lt;&gt;"",Transações!B908,"")</f>
        <v/>
      </c>
      <c r="D908" s="18" t="str">
        <f aca="false">IF(Transações!D908&lt;&gt;"",Transações!D908,"")</f>
        <v/>
      </c>
      <c r="E908" s="19" t="str">
        <f aca="false">IF(Transações!E908&lt;&gt;"",Transações!E908,"")</f>
        <v/>
      </c>
      <c r="F908" s="12" t="str">
        <f aca="false">IF(C908="Compra",D908*E908,IF(C908="Staking",D908*E908,""))</f>
        <v/>
      </c>
      <c r="G908" s="12" t="str">
        <f aca="false">IF(C908="Venda",IF(COUNTIF(A$3:A907,A908)&gt;0,(E908-SUMPRODUCT((A$3:A907=A908)*(C$3:C907="Compra")*F$3:F907)/IF(SUMPRODUCT((A$3:A907=A908)*(C$3:C907="Compra")*D$3:D907)=0,1,SUMPRODUCT((A$3:A907=A908)*(C$3:C907="Compra")*D$3:D907)))*D908,0),"")</f>
        <v/>
      </c>
      <c r="H908" s="12" t="str">
        <f aca="false">IF(C908="Venda",E908*D908,"")</f>
        <v/>
      </c>
    </row>
    <row r="909" customFormat="false" ht="15" hidden="false" customHeight="false" outlineLevel="0" collapsed="false">
      <c r="A909" s="14" t="str">
        <f aca="false">IF(Transações!C909&lt;&gt;"",Transações!C909,"")</f>
        <v/>
      </c>
      <c r="B909" s="14" t="str">
        <f aca="false">IF(Transações!A909&lt;&gt;"",Transações!A909,"")</f>
        <v/>
      </c>
      <c r="C909" s="14" t="str">
        <f aca="false">IF(Transações!B909&lt;&gt;"",Transações!B909,"")</f>
        <v/>
      </c>
      <c r="D909" s="15" t="str">
        <f aca="false">IF(Transações!D909&lt;&gt;"",Transações!D909,"")</f>
        <v/>
      </c>
      <c r="E909" s="16" t="str">
        <f aca="false">IF(Transações!E909&lt;&gt;"",Transações!E909,"")</f>
        <v/>
      </c>
      <c r="F909" s="7" t="str">
        <f aca="false">IF(C909="Compra",D909*E909,IF(C909="Staking",D909*E909,""))</f>
        <v/>
      </c>
      <c r="G909" s="7" t="str">
        <f aca="false">IF(C909="Venda",IF(COUNTIF(A$3:A908,A909)&gt;0,(E909-SUMPRODUCT((A$3:A908=A909)*(C$3:C908="Compra")*F$3:F908)/IF(SUMPRODUCT((A$3:A908=A909)*(C$3:C908="Compra")*D$3:D908)=0,1,SUMPRODUCT((A$3:A908=A909)*(C$3:C908="Compra")*D$3:D908)))*D909,0),"")</f>
        <v/>
      </c>
      <c r="H909" s="7" t="str">
        <f aca="false">IF(C909="Venda",E909*D909,"")</f>
        <v/>
      </c>
    </row>
    <row r="910" customFormat="false" ht="15" hidden="false" customHeight="false" outlineLevel="0" collapsed="false">
      <c r="A910" s="17" t="str">
        <f aca="false">IF(Transações!C910&lt;&gt;"",Transações!C910,"")</f>
        <v/>
      </c>
      <c r="B910" s="17" t="str">
        <f aca="false">IF(Transações!A910&lt;&gt;"",Transações!A910,"")</f>
        <v/>
      </c>
      <c r="C910" s="17" t="str">
        <f aca="false">IF(Transações!B910&lt;&gt;"",Transações!B910,"")</f>
        <v/>
      </c>
      <c r="D910" s="18" t="str">
        <f aca="false">IF(Transações!D910&lt;&gt;"",Transações!D910,"")</f>
        <v/>
      </c>
      <c r="E910" s="19" t="str">
        <f aca="false">IF(Transações!E910&lt;&gt;"",Transações!E910,"")</f>
        <v/>
      </c>
      <c r="F910" s="12" t="str">
        <f aca="false">IF(C910="Compra",D910*E910,IF(C910="Staking",D910*E910,""))</f>
        <v/>
      </c>
      <c r="G910" s="12" t="str">
        <f aca="false">IF(C910="Venda",IF(COUNTIF(A$3:A909,A910)&gt;0,(E910-SUMPRODUCT((A$3:A909=A910)*(C$3:C909="Compra")*F$3:F909)/IF(SUMPRODUCT((A$3:A909=A910)*(C$3:C909="Compra")*D$3:D909)=0,1,SUMPRODUCT((A$3:A909=A910)*(C$3:C909="Compra")*D$3:D909)))*D910,0),"")</f>
        <v/>
      </c>
      <c r="H910" s="12" t="str">
        <f aca="false">IF(C910="Venda",E910*D910,"")</f>
        <v/>
      </c>
    </row>
    <row r="911" customFormat="false" ht="15" hidden="false" customHeight="false" outlineLevel="0" collapsed="false">
      <c r="A911" s="14" t="str">
        <f aca="false">IF(Transações!C911&lt;&gt;"",Transações!C911,"")</f>
        <v/>
      </c>
      <c r="B911" s="14" t="str">
        <f aca="false">IF(Transações!A911&lt;&gt;"",Transações!A911,"")</f>
        <v/>
      </c>
      <c r="C911" s="14" t="str">
        <f aca="false">IF(Transações!B911&lt;&gt;"",Transações!B911,"")</f>
        <v/>
      </c>
      <c r="D911" s="15" t="str">
        <f aca="false">IF(Transações!D911&lt;&gt;"",Transações!D911,"")</f>
        <v/>
      </c>
      <c r="E911" s="16" t="str">
        <f aca="false">IF(Transações!E911&lt;&gt;"",Transações!E911,"")</f>
        <v/>
      </c>
      <c r="F911" s="7" t="str">
        <f aca="false">IF(C911="Compra",D911*E911,IF(C911="Staking",D911*E911,""))</f>
        <v/>
      </c>
      <c r="G911" s="7" t="str">
        <f aca="false">IF(C911="Venda",IF(COUNTIF(A$3:A910,A911)&gt;0,(E911-SUMPRODUCT((A$3:A910=A911)*(C$3:C910="Compra")*F$3:F910)/IF(SUMPRODUCT((A$3:A910=A911)*(C$3:C910="Compra")*D$3:D910)=0,1,SUMPRODUCT((A$3:A910=A911)*(C$3:C910="Compra")*D$3:D910)))*D911,0),"")</f>
        <v/>
      </c>
      <c r="H911" s="7" t="str">
        <f aca="false">IF(C911="Venda",E911*D911,"")</f>
        <v/>
      </c>
    </row>
    <row r="912" customFormat="false" ht="15" hidden="false" customHeight="false" outlineLevel="0" collapsed="false">
      <c r="A912" s="17" t="str">
        <f aca="false">IF(Transações!C912&lt;&gt;"",Transações!C912,"")</f>
        <v/>
      </c>
      <c r="B912" s="17" t="str">
        <f aca="false">IF(Transações!A912&lt;&gt;"",Transações!A912,"")</f>
        <v/>
      </c>
      <c r="C912" s="17" t="str">
        <f aca="false">IF(Transações!B912&lt;&gt;"",Transações!B912,"")</f>
        <v/>
      </c>
      <c r="D912" s="18" t="str">
        <f aca="false">IF(Transações!D912&lt;&gt;"",Transações!D912,"")</f>
        <v/>
      </c>
      <c r="E912" s="19" t="str">
        <f aca="false">IF(Transações!E912&lt;&gt;"",Transações!E912,"")</f>
        <v/>
      </c>
      <c r="F912" s="12" t="str">
        <f aca="false">IF(C912="Compra",D912*E912,IF(C912="Staking",D912*E912,""))</f>
        <v/>
      </c>
      <c r="G912" s="12" t="str">
        <f aca="false">IF(C912="Venda",IF(COUNTIF(A$3:A911,A912)&gt;0,(E912-SUMPRODUCT((A$3:A911=A912)*(C$3:C911="Compra")*F$3:F911)/IF(SUMPRODUCT((A$3:A911=A912)*(C$3:C911="Compra")*D$3:D911)=0,1,SUMPRODUCT((A$3:A911=A912)*(C$3:C911="Compra")*D$3:D911)))*D912,0),"")</f>
        <v/>
      </c>
      <c r="H912" s="12" t="str">
        <f aca="false">IF(C912="Venda",E912*D912,"")</f>
        <v/>
      </c>
    </row>
    <row r="913" customFormat="false" ht="15" hidden="false" customHeight="false" outlineLevel="0" collapsed="false">
      <c r="A913" s="14" t="str">
        <f aca="false">IF(Transações!C913&lt;&gt;"",Transações!C913,"")</f>
        <v/>
      </c>
      <c r="B913" s="14" t="str">
        <f aca="false">IF(Transações!A913&lt;&gt;"",Transações!A913,"")</f>
        <v/>
      </c>
      <c r="C913" s="14" t="str">
        <f aca="false">IF(Transações!B913&lt;&gt;"",Transações!B913,"")</f>
        <v/>
      </c>
      <c r="D913" s="15" t="str">
        <f aca="false">IF(Transações!D913&lt;&gt;"",Transações!D913,"")</f>
        <v/>
      </c>
      <c r="E913" s="16" t="str">
        <f aca="false">IF(Transações!E913&lt;&gt;"",Transações!E913,"")</f>
        <v/>
      </c>
      <c r="F913" s="7" t="str">
        <f aca="false">IF(C913="Compra",D913*E913,IF(C913="Staking",D913*E913,""))</f>
        <v/>
      </c>
      <c r="G913" s="7" t="str">
        <f aca="false">IF(C913="Venda",IF(COUNTIF(A$3:A912,A913)&gt;0,(E913-SUMPRODUCT((A$3:A912=A913)*(C$3:C912="Compra")*F$3:F912)/IF(SUMPRODUCT((A$3:A912=A913)*(C$3:C912="Compra")*D$3:D912)=0,1,SUMPRODUCT((A$3:A912=A913)*(C$3:C912="Compra")*D$3:D912)))*D913,0),"")</f>
        <v/>
      </c>
      <c r="H913" s="7" t="str">
        <f aca="false">IF(C913="Venda",E913*D913,"")</f>
        <v/>
      </c>
    </row>
    <row r="914" customFormat="false" ht="15" hidden="false" customHeight="false" outlineLevel="0" collapsed="false">
      <c r="A914" s="17" t="str">
        <f aca="false">IF(Transações!C914&lt;&gt;"",Transações!C914,"")</f>
        <v/>
      </c>
      <c r="B914" s="17" t="str">
        <f aca="false">IF(Transações!A914&lt;&gt;"",Transações!A914,"")</f>
        <v/>
      </c>
      <c r="C914" s="17" t="str">
        <f aca="false">IF(Transações!B914&lt;&gt;"",Transações!B914,"")</f>
        <v/>
      </c>
      <c r="D914" s="18" t="str">
        <f aca="false">IF(Transações!D914&lt;&gt;"",Transações!D914,"")</f>
        <v/>
      </c>
      <c r="E914" s="19" t="str">
        <f aca="false">IF(Transações!E914&lt;&gt;"",Transações!E914,"")</f>
        <v/>
      </c>
      <c r="F914" s="12" t="str">
        <f aca="false">IF(C914="Compra",D914*E914,IF(C914="Staking",D914*E914,""))</f>
        <v/>
      </c>
      <c r="G914" s="12" t="str">
        <f aca="false">IF(C914="Venda",IF(COUNTIF(A$3:A913,A914)&gt;0,(E914-SUMPRODUCT((A$3:A913=A914)*(C$3:C913="Compra")*F$3:F913)/IF(SUMPRODUCT((A$3:A913=A914)*(C$3:C913="Compra")*D$3:D913)=0,1,SUMPRODUCT((A$3:A913=A914)*(C$3:C913="Compra")*D$3:D913)))*D914,0),"")</f>
        <v/>
      </c>
      <c r="H914" s="12" t="str">
        <f aca="false">IF(C914="Venda",E914*D914,"")</f>
        <v/>
      </c>
    </row>
    <row r="915" customFormat="false" ht="15" hidden="false" customHeight="false" outlineLevel="0" collapsed="false">
      <c r="A915" s="14" t="str">
        <f aca="false">IF(Transações!C915&lt;&gt;"",Transações!C915,"")</f>
        <v/>
      </c>
      <c r="B915" s="14" t="str">
        <f aca="false">IF(Transações!A915&lt;&gt;"",Transações!A915,"")</f>
        <v/>
      </c>
      <c r="C915" s="14" t="str">
        <f aca="false">IF(Transações!B915&lt;&gt;"",Transações!B915,"")</f>
        <v/>
      </c>
      <c r="D915" s="15" t="str">
        <f aca="false">IF(Transações!D915&lt;&gt;"",Transações!D915,"")</f>
        <v/>
      </c>
      <c r="E915" s="16" t="str">
        <f aca="false">IF(Transações!E915&lt;&gt;"",Transações!E915,"")</f>
        <v/>
      </c>
      <c r="F915" s="7" t="str">
        <f aca="false">IF(C915="Compra",D915*E915,IF(C915="Staking",D915*E915,""))</f>
        <v/>
      </c>
      <c r="G915" s="7" t="str">
        <f aca="false">IF(C915="Venda",IF(COUNTIF(A$3:A914,A915)&gt;0,(E915-SUMPRODUCT((A$3:A914=A915)*(C$3:C914="Compra")*F$3:F914)/IF(SUMPRODUCT((A$3:A914=A915)*(C$3:C914="Compra")*D$3:D914)=0,1,SUMPRODUCT((A$3:A914=A915)*(C$3:C914="Compra")*D$3:D914)))*D915,0),"")</f>
        <v/>
      </c>
      <c r="H915" s="7" t="str">
        <f aca="false">IF(C915="Venda",E915*D915,"")</f>
        <v/>
      </c>
    </row>
    <row r="916" customFormat="false" ht="15" hidden="false" customHeight="false" outlineLevel="0" collapsed="false">
      <c r="A916" s="17" t="str">
        <f aca="false">IF(Transações!C916&lt;&gt;"",Transações!C916,"")</f>
        <v/>
      </c>
      <c r="B916" s="17" t="str">
        <f aca="false">IF(Transações!A916&lt;&gt;"",Transações!A916,"")</f>
        <v/>
      </c>
      <c r="C916" s="17" t="str">
        <f aca="false">IF(Transações!B916&lt;&gt;"",Transações!B916,"")</f>
        <v/>
      </c>
      <c r="D916" s="18" t="str">
        <f aca="false">IF(Transações!D916&lt;&gt;"",Transações!D916,"")</f>
        <v/>
      </c>
      <c r="E916" s="19" t="str">
        <f aca="false">IF(Transações!E916&lt;&gt;"",Transações!E916,"")</f>
        <v/>
      </c>
      <c r="F916" s="12" t="str">
        <f aca="false">IF(C916="Compra",D916*E916,IF(C916="Staking",D916*E916,""))</f>
        <v/>
      </c>
      <c r="G916" s="12" t="str">
        <f aca="false">IF(C916="Venda",IF(COUNTIF(A$3:A915,A916)&gt;0,(E916-SUMPRODUCT((A$3:A915=A916)*(C$3:C915="Compra")*F$3:F915)/IF(SUMPRODUCT((A$3:A915=A916)*(C$3:C915="Compra")*D$3:D915)=0,1,SUMPRODUCT((A$3:A915=A916)*(C$3:C915="Compra")*D$3:D915)))*D916,0),"")</f>
        <v/>
      </c>
      <c r="H916" s="12" t="str">
        <f aca="false">IF(C916="Venda",E916*D916,"")</f>
        <v/>
      </c>
    </row>
    <row r="917" customFormat="false" ht="15" hidden="false" customHeight="false" outlineLevel="0" collapsed="false">
      <c r="A917" s="14" t="str">
        <f aca="false">IF(Transações!C917&lt;&gt;"",Transações!C917,"")</f>
        <v/>
      </c>
      <c r="B917" s="14" t="str">
        <f aca="false">IF(Transações!A917&lt;&gt;"",Transações!A917,"")</f>
        <v/>
      </c>
      <c r="C917" s="14" t="str">
        <f aca="false">IF(Transações!B917&lt;&gt;"",Transações!B917,"")</f>
        <v/>
      </c>
      <c r="D917" s="15" t="str">
        <f aca="false">IF(Transações!D917&lt;&gt;"",Transações!D917,"")</f>
        <v/>
      </c>
      <c r="E917" s="16" t="str">
        <f aca="false">IF(Transações!E917&lt;&gt;"",Transações!E917,"")</f>
        <v/>
      </c>
      <c r="F917" s="7" t="str">
        <f aca="false">IF(C917="Compra",D917*E917,IF(C917="Staking",D917*E917,""))</f>
        <v/>
      </c>
      <c r="G917" s="7" t="str">
        <f aca="false">IF(C917="Venda",IF(COUNTIF(A$3:A916,A917)&gt;0,(E917-SUMPRODUCT((A$3:A916=A917)*(C$3:C916="Compra")*F$3:F916)/IF(SUMPRODUCT((A$3:A916=A917)*(C$3:C916="Compra")*D$3:D916)=0,1,SUMPRODUCT((A$3:A916=A917)*(C$3:C916="Compra")*D$3:D916)))*D917,0),"")</f>
        <v/>
      </c>
      <c r="H917" s="7" t="str">
        <f aca="false">IF(C917="Venda",E917*D917,"")</f>
        <v/>
      </c>
    </row>
    <row r="918" customFormat="false" ht="15" hidden="false" customHeight="false" outlineLevel="0" collapsed="false">
      <c r="A918" s="17" t="str">
        <f aca="false">IF(Transações!C918&lt;&gt;"",Transações!C918,"")</f>
        <v/>
      </c>
      <c r="B918" s="17" t="str">
        <f aca="false">IF(Transações!A918&lt;&gt;"",Transações!A918,"")</f>
        <v/>
      </c>
      <c r="C918" s="17" t="str">
        <f aca="false">IF(Transações!B918&lt;&gt;"",Transações!B918,"")</f>
        <v/>
      </c>
      <c r="D918" s="18" t="str">
        <f aca="false">IF(Transações!D918&lt;&gt;"",Transações!D918,"")</f>
        <v/>
      </c>
      <c r="E918" s="19" t="str">
        <f aca="false">IF(Transações!E918&lt;&gt;"",Transações!E918,"")</f>
        <v/>
      </c>
      <c r="F918" s="12" t="str">
        <f aca="false">IF(C918="Compra",D918*E918,IF(C918="Staking",D918*E918,""))</f>
        <v/>
      </c>
      <c r="G918" s="12" t="str">
        <f aca="false">IF(C918="Venda",IF(COUNTIF(A$3:A917,A918)&gt;0,(E918-SUMPRODUCT((A$3:A917=A918)*(C$3:C917="Compra")*F$3:F917)/IF(SUMPRODUCT((A$3:A917=A918)*(C$3:C917="Compra")*D$3:D917)=0,1,SUMPRODUCT((A$3:A917=A918)*(C$3:C917="Compra")*D$3:D917)))*D918,0),"")</f>
        <v/>
      </c>
      <c r="H918" s="12" t="str">
        <f aca="false">IF(C918="Venda",E918*D918,"")</f>
        <v/>
      </c>
    </row>
    <row r="919" customFormat="false" ht="15" hidden="false" customHeight="false" outlineLevel="0" collapsed="false">
      <c r="A919" s="14" t="str">
        <f aca="false">IF(Transações!C919&lt;&gt;"",Transações!C919,"")</f>
        <v/>
      </c>
      <c r="B919" s="14" t="str">
        <f aca="false">IF(Transações!A919&lt;&gt;"",Transações!A919,"")</f>
        <v/>
      </c>
      <c r="C919" s="14" t="str">
        <f aca="false">IF(Transações!B919&lt;&gt;"",Transações!B919,"")</f>
        <v/>
      </c>
      <c r="D919" s="15" t="str">
        <f aca="false">IF(Transações!D919&lt;&gt;"",Transações!D919,"")</f>
        <v/>
      </c>
      <c r="E919" s="16" t="str">
        <f aca="false">IF(Transações!E919&lt;&gt;"",Transações!E919,"")</f>
        <v/>
      </c>
      <c r="F919" s="7" t="str">
        <f aca="false">IF(C919="Compra",D919*E919,IF(C919="Staking",D919*E919,""))</f>
        <v/>
      </c>
      <c r="G919" s="7" t="str">
        <f aca="false">IF(C919="Venda",IF(COUNTIF(A$3:A918,A919)&gt;0,(E919-SUMPRODUCT((A$3:A918=A919)*(C$3:C918="Compra")*F$3:F918)/IF(SUMPRODUCT((A$3:A918=A919)*(C$3:C918="Compra")*D$3:D918)=0,1,SUMPRODUCT((A$3:A918=A919)*(C$3:C918="Compra")*D$3:D918)))*D919,0),"")</f>
        <v/>
      </c>
      <c r="H919" s="7" t="str">
        <f aca="false">IF(C919="Venda",E919*D919,"")</f>
        <v/>
      </c>
    </row>
    <row r="920" customFormat="false" ht="15" hidden="false" customHeight="false" outlineLevel="0" collapsed="false">
      <c r="A920" s="17" t="str">
        <f aca="false">IF(Transações!C920&lt;&gt;"",Transações!C920,"")</f>
        <v/>
      </c>
      <c r="B920" s="17" t="str">
        <f aca="false">IF(Transações!A920&lt;&gt;"",Transações!A920,"")</f>
        <v/>
      </c>
      <c r="C920" s="17" t="str">
        <f aca="false">IF(Transações!B920&lt;&gt;"",Transações!B920,"")</f>
        <v/>
      </c>
      <c r="D920" s="18" t="str">
        <f aca="false">IF(Transações!D920&lt;&gt;"",Transações!D920,"")</f>
        <v/>
      </c>
      <c r="E920" s="19" t="str">
        <f aca="false">IF(Transações!E920&lt;&gt;"",Transações!E920,"")</f>
        <v/>
      </c>
      <c r="F920" s="12" t="str">
        <f aca="false">IF(C920="Compra",D920*E920,IF(C920="Staking",D920*E920,""))</f>
        <v/>
      </c>
      <c r="G920" s="12" t="str">
        <f aca="false">IF(C920="Venda",IF(COUNTIF(A$3:A919,A920)&gt;0,(E920-SUMPRODUCT((A$3:A919=A920)*(C$3:C919="Compra")*F$3:F919)/IF(SUMPRODUCT((A$3:A919=A920)*(C$3:C919="Compra")*D$3:D919)=0,1,SUMPRODUCT((A$3:A919=A920)*(C$3:C919="Compra")*D$3:D919)))*D920,0),"")</f>
        <v/>
      </c>
      <c r="H920" s="12" t="str">
        <f aca="false">IF(C920="Venda",E920*D920,"")</f>
        <v/>
      </c>
    </row>
    <row r="921" customFormat="false" ht="15" hidden="false" customHeight="false" outlineLevel="0" collapsed="false">
      <c r="A921" s="14" t="str">
        <f aca="false">IF(Transações!C921&lt;&gt;"",Transações!C921,"")</f>
        <v/>
      </c>
      <c r="B921" s="14" t="str">
        <f aca="false">IF(Transações!A921&lt;&gt;"",Transações!A921,"")</f>
        <v/>
      </c>
      <c r="C921" s="14" t="str">
        <f aca="false">IF(Transações!B921&lt;&gt;"",Transações!B921,"")</f>
        <v/>
      </c>
      <c r="D921" s="15" t="str">
        <f aca="false">IF(Transações!D921&lt;&gt;"",Transações!D921,"")</f>
        <v/>
      </c>
      <c r="E921" s="16" t="str">
        <f aca="false">IF(Transações!E921&lt;&gt;"",Transações!E921,"")</f>
        <v/>
      </c>
      <c r="F921" s="7" t="str">
        <f aca="false">IF(C921="Compra",D921*E921,IF(C921="Staking",D921*E921,""))</f>
        <v/>
      </c>
      <c r="G921" s="7" t="str">
        <f aca="false">IF(C921="Venda",IF(COUNTIF(A$3:A920,A921)&gt;0,(E921-SUMPRODUCT((A$3:A920=A921)*(C$3:C920="Compra")*F$3:F920)/IF(SUMPRODUCT((A$3:A920=A921)*(C$3:C920="Compra")*D$3:D920)=0,1,SUMPRODUCT((A$3:A920=A921)*(C$3:C920="Compra")*D$3:D920)))*D921,0),"")</f>
        <v/>
      </c>
      <c r="H921" s="7" t="str">
        <f aca="false">IF(C921="Venda",E921*D921,"")</f>
        <v/>
      </c>
    </row>
    <row r="922" customFormat="false" ht="15" hidden="false" customHeight="false" outlineLevel="0" collapsed="false">
      <c r="A922" s="17" t="str">
        <f aca="false">IF(Transações!C922&lt;&gt;"",Transações!C922,"")</f>
        <v/>
      </c>
      <c r="B922" s="17" t="str">
        <f aca="false">IF(Transações!A922&lt;&gt;"",Transações!A922,"")</f>
        <v/>
      </c>
      <c r="C922" s="17" t="str">
        <f aca="false">IF(Transações!B922&lt;&gt;"",Transações!B922,"")</f>
        <v/>
      </c>
      <c r="D922" s="18" t="str">
        <f aca="false">IF(Transações!D922&lt;&gt;"",Transações!D922,"")</f>
        <v/>
      </c>
      <c r="E922" s="19" t="str">
        <f aca="false">IF(Transações!E922&lt;&gt;"",Transações!E922,"")</f>
        <v/>
      </c>
      <c r="F922" s="12" t="str">
        <f aca="false">IF(C922="Compra",D922*E922,IF(C922="Staking",D922*E922,""))</f>
        <v/>
      </c>
      <c r="G922" s="12" t="str">
        <f aca="false">IF(C922="Venda",IF(COUNTIF(A$3:A921,A922)&gt;0,(E922-SUMPRODUCT((A$3:A921=A922)*(C$3:C921="Compra")*F$3:F921)/IF(SUMPRODUCT((A$3:A921=A922)*(C$3:C921="Compra")*D$3:D921)=0,1,SUMPRODUCT((A$3:A921=A922)*(C$3:C921="Compra")*D$3:D921)))*D922,0),"")</f>
        <v/>
      </c>
      <c r="H922" s="12" t="str">
        <f aca="false">IF(C922="Venda",E922*D922,"")</f>
        <v/>
      </c>
    </row>
    <row r="923" customFormat="false" ht="15" hidden="false" customHeight="false" outlineLevel="0" collapsed="false">
      <c r="A923" s="14" t="str">
        <f aca="false">IF(Transações!C923&lt;&gt;"",Transações!C923,"")</f>
        <v/>
      </c>
      <c r="B923" s="14" t="str">
        <f aca="false">IF(Transações!A923&lt;&gt;"",Transações!A923,"")</f>
        <v/>
      </c>
      <c r="C923" s="14" t="str">
        <f aca="false">IF(Transações!B923&lt;&gt;"",Transações!B923,"")</f>
        <v/>
      </c>
      <c r="D923" s="15" t="str">
        <f aca="false">IF(Transações!D923&lt;&gt;"",Transações!D923,"")</f>
        <v/>
      </c>
      <c r="E923" s="16" t="str">
        <f aca="false">IF(Transações!E923&lt;&gt;"",Transações!E923,"")</f>
        <v/>
      </c>
      <c r="F923" s="7" t="str">
        <f aca="false">IF(C923="Compra",D923*E923,IF(C923="Staking",D923*E923,""))</f>
        <v/>
      </c>
      <c r="G923" s="7" t="str">
        <f aca="false">IF(C923="Venda",IF(COUNTIF(A$3:A922,A923)&gt;0,(E923-SUMPRODUCT((A$3:A922=A923)*(C$3:C922="Compra")*F$3:F922)/IF(SUMPRODUCT((A$3:A922=A923)*(C$3:C922="Compra")*D$3:D922)=0,1,SUMPRODUCT((A$3:A922=A923)*(C$3:C922="Compra")*D$3:D922)))*D923,0),"")</f>
        <v/>
      </c>
      <c r="H923" s="7" t="str">
        <f aca="false">IF(C923="Venda",E923*D923,"")</f>
        <v/>
      </c>
    </row>
    <row r="924" customFormat="false" ht="15" hidden="false" customHeight="false" outlineLevel="0" collapsed="false">
      <c r="A924" s="17" t="str">
        <f aca="false">IF(Transações!C924&lt;&gt;"",Transações!C924,"")</f>
        <v/>
      </c>
      <c r="B924" s="17" t="str">
        <f aca="false">IF(Transações!A924&lt;&gt;"",Transações!A924,"")</f>
        <v/>
      </c>
      <c r="C924" s="17" t="str">
        <f aca="false">IF(Transações!B924&lt;&gt;"",Transações!B924,"")</f>
        <v/>
      </c>
      <c r="D924" s="18" t="str">
        <f aca="false">IF(Transações!D924&lt;&gt;"",Transações!D924,"")</f>
        <v/>
      </c>
      <c r="E924" s="19" t="str">
        <f aca="false">IF(Transações!E924&lt;&gt;"",Transações!E924,"")</f>
        <v/>
      </c>
      <c r="F924" s="12" t="str">
        <f aca="false">IF(C924="Compra",D924*E924,IF(C924="Staking",D924*E924,""))</f>
        <v/>
      </c>
      <c r="G924" s="12" t="str">
        <f aca="false">IF(C924="Venda",IF(COUNTIF(A$3:A923,A924)&gt;0,(E924-SUMPRODUCT((A$3:A923=A924)*(C$3:C923="Compra")*F$3:F923)/IF(SUMPRODUCT((A$3:A923=A924)*(C$3:C923="Compra")*D$3:D923)=0,1,SUMPRODUCT((A$3:A923=A924)*(C$3:C923="Compra")*D$3:D923)))*D924,0),"")</f>
        <v/>
      </c>
      <c r="H924" s="12" t="str">
        <f aca="false">IF(C924="Venda",E924*D924,"")</f>
        <v/>
      </c>
    </row>
    <row r="925" customFormat="false" ht="15" hidden="false" customHeight="false" outlineLevel="0" collapsed="false">
      <c r="A925" s="14" t="str">
        <f aca="false">IF(Transações!C925&lt;&gt;"",Transações!C925,"")</f>
        <v/>
      </c>
      <c r="B925" s="14" t="str">
        <f aca="false">IF(Transações!A925&lt;&gt;"",Transações!A925,"")</f>
        <v/>
      </c>
      <c r="C925" s="14" t="str">
        <f aca="false">IF(Transações!B925&lt;&gt;"",Transações!B925,"")</f>
        <v/>
      </c>
      <c r="D925" s="15" t="str">
        <f aca="false">IF(Transações!D925&lt;&gt;"",Transações!D925,"")</f>
        <v/>
      </c>
      <c r="E925" s="16" t="str">
        <f aca="false">IF(Transações!E925&lt;&gt;"",Transações!E925,"")</f>
        <v/>
      </c>
      <c r="F925" s="7" t="str">
        <f aca="false">IF(C925="Compra",D925*E925,IF(C925="Staking",D925*E925,""))</f>
        <v/>
      </c>
      <c r="G925" s="7" t="str">
        <f aca="false">IF(C925="Venda",IF(COUNTIF(A$3:A924,A925)&gt;0,(E925-SUMPRODUCT((A$3:A924=A925)*(C$3:C924="Compra")*F$3:F924)/IF(SUMPRODUCT((A$3:A924=A925)*(C$3:C924="Compra")*D$3:D924)=0,1,SUMPRODUCT((A$3:A924=A925)*(C$3:C924="Compra")*D$3:D924)))*D925,0),"")</f>
        <v/>
      </c>
      <c r="H925" s="7" t="str">
        <f aca="false">IF(C925="Venda",E925*D925,"")</f>
        <v/>
      </c>
    </row>
    <row r="926" customFormat="false" ht="15" hidden="false" customHeight="false" outlineLevel="0" collapsed="false">
      <c r="A926" s="17" t="str">
        <f aca="false">IF(Transações!C926&lt;&gt;"",Transações!C926,"")</f>
        <v/>
      </c>
      <c r="B926" s="17" t="str">
        <f aca="false">IF(Transações!A926&lt;&gt;"",Transações!A926,"")</f>
        <v/>
      </c>
      <c r="C926" s="17" t="str">
        <f aca="false">IF(Transações!B926&lt;&gt;"",Transações!B926,"")</f>
        <v/>
      </c>
      <c r="D926" s="18" t="str">
        <f aca="false">IF(Transações!D926&lt;&gt;"",Transações!D926,"")</f>
        <v/>
      </c>
      <c r="E926" s="19" t="str">
        <f aca="false">IF(Transações!E926&lt;&gt;"",Transações!E926,"")</f>
        <v/>
      </c>
      <c r="F926" s="12" t="str">
        <f aca="false">IF(C926="Compra",D926*E926,IF(C926="Staking",D926*E926,""))</f>
        <v/>
      </c>
      <c r="G926" s="12" t="str">
        <f aca="false">IF(C926="Venda",IF(COUNTIF(A$3:A925,A926)&gt;0,(E926-SUMPRODUCT((A$3:A925=A926)*(C$3:C925="Compra")*F$3:F925)/IF(SUMPRODUCT((A$3:A925=A926)*(C$3:C925="Compra")*D$3:D925)=0,1,SUMPRODUCT((A$3:A925=A926)*(C$3:C925="Compra")*D$3:D925)))*D926,0),"")</f>
        <v/>
      </c>
      <c r="H926" s="12" t="str">
        <f aca="false">IF(C926="Venda",E926*D926,"")</f>
        <v/>
      </c>
    </row>
    <row r="927" customFormat="false" ht="15" hidden="false" customHeight="false" outlineLevel="0" collapsed="false">
      <c r="A927" s="14" t="str">
        <f aca="false">IF(Transações!C927&lt;&gt;"",Transações!C927,"")</f>
        <v/>
      </c>
      <c r="B927" s="14" t="str">
        <f aca="false">IF(Transações!A927&lt;&gt;"",Transações!A927,"")</f>
        <v/>
      </c>
      <c r="C927" s="14" t="str">
        <f aca="false">IF(Transações!B927&lt;&gt;"",Transações!B927,"")</f>
        <v/>
      </c>
      <c r="D927" s="15" t="str">
        <f aca="false">IF(Transações!D927&lt;&gt;"",Transações!D927,"")</f>
        <v/>
      </c>
      <c r="E927" s="16" t="str">
        <f aca="false">IF(Transações!E927&lt;&gt;"",Transações!E927,"")</f>
        <v/>
      </c>
      <c r="F927" s="7" t="str">
        <f aca="false">IF(C927="Compra",D927*E927,IF(C927="Staking",D927*E927,""))</f>
        <v/>
      </c>
      <c r="G927" s="7" t="str">
        <f aca="false">IF(C927="Venda",IF(COUNTIF(A$3:A926,A927)&gt;0,(E927-SUMPRODUCT((A$3:A926=A927)*(C$3:C926="Compra")*F$3:F926)/IF(SUMPRODUCT((A$3:A926=A927)*(C$3:C926="Compra")*D$3:D926)=0,1,SUMPRODUCT((A$3:A926=A927)*(C$3:C926="Compra")*D$3:D926)))*D927,0),"")</f>
        <v/>
      </c>
      <c r="H927" s="7" t="str">
        <f aca="false">IF(C927="Venda",E927*D927,"")</f>
        <v/>
      </c>
    </row>
    <row r="928" customFormat="false" ht="15" hidden="false" customHeight="false" outlineLevel="0" collapsed="false">
      <c r="A928" s="17" t="str">
        <f aca="false">IF(Transações!C928&lt;&gt;"",Transações!C928,"")</f>
        <v/>
      </c>
      <c r="B928" s="17" t="str">
        <f aca="false">IF(Transações!A928&lt;&gt;"",Transações!A928,"")</f>
        <v/>
      </c>
      <c r="C928" s="17" t="str">
        <f aca="false">IF(Transações!B928&lt;&gt;"",Transações!B928,"")</f>
        <v/>
      </c>
      <c r="D928" s="18" t="str">
        <f aca="false">IF(Transações!D928&lt;&gt;"",Transações!D928,"")</f>
        <v/>
      </c>
      <c r="E928" s="19" t="str">
        <f aca="false">IF(Transações!E928&lt;&gt;"",Transações!E928,"")</f>
        <v/>
      </c>
      <c r="F928" s="12" t="str">
        <f aca="false">IF(C928="Compra",D928*E928,IF(C928="Staking",D928*E928,""))</f>
        <v/>
      </c>
      <c r="G928" s="12" t="str">
        <f aca="false">IF(C928="Venda",IF(COUNTIF(A$3:A927,A928)&gt;0,(E928-SUMPRODUCT((A$3:A927=A928)*(C$3:C927="Compra")*F$3:F927)/IF(SUMPRODUCT((A$3:A927=A928)*(C$3:C927="Compra")*D$3:D927)=0,1,SUMPRODUCT((A$3:A927=A928)*(C$3:C927="Compra")*D$3:D927)))*D928,0),"")</f>
        <v/>
      </c>
      <c r="H928" s="12" t="str">
        <f aca="false">IF(C928="Venda",E928*D928,"")</f>
        <v/>
      </c>
    </row>
    <row r="929" customFormat="false" ht="15" hidden="false" customHeight="false" outlineLevel="0" collapsed="false">
      <c r="A929" s="14" t="str">
        <f aca="false">IF(Transações!C929&lt;&gt;"",Transações!C929,"")</f>
        <v/>
      </c>
      <c r="B929" s="14" t="str">
        <f aca="false">IF(Transações!A929&lt;&gt;"",Transações!A929,"")</f>
        <v/>
      </c>
      <c r="C929" s="14" t="str">
        <f aca="false">IF(Transações!B929&lt;&gt;"",Transações!B929,"")</f>
        <v/>
      </c>
      <c r="D929" s="15" t="str">
        <f aca="false">IF(Transações!D929&lt;&gt;"",Transações!D929,"")</f>
        <v/>
      </c>
      <c r="E929" s="16" t="str">
        <f aca="false">IF(Transações!E929&lt;&gt;"",Transações!E929,"")</f>
        <v/>
      </c>
      <c r="F929" s="7" t="str">
        <f aca="false">IF(C929="Compra",D929*E929,IF(C929="Staking",D929*E929,""))</f>
        <v/>
      </c>
      <c r="G929" s="7" t="str">
        <f aca="false">IF(C929="Venda",IF(COUNTIF(A$3:A928,A929)&gt;0,(E929-SUMPRODUCT((A$3:A928=A929)*(C$3:C928="Compra")*F$3:F928)/IF(SUMPRODUCT((A$3:A928=A929)*(C$3:C928="Compra")*D$3:D928)=0,1,SUMPRODUCT((A$3:A928=A929)*(C$3:C928="Compra")*D$3:D928)))*D929,0),"")</f>
        <v/>
      </c>
      <c r="H929" s="7" t="str">
        <f aca="false">IF(C929="Venda",E929*D929,"")</f>
        <v/>
      </c>
    </row>
    <row r="930" customFormat="false" ht="15" hidden="false" customHeight="false" outlineLevel="0" collapsed="false">
      <c r="A930" s="17" t="str">
        <f aca="false">IF(Transações!C930&lt;&gt;"",Transações!C930,"")</f>
        <v/>
      </c>
      <c r="B930" s="17" t="str">
        <f aca="false">IF(Transações!A930&lt;&gt;"",Transações!A930,"")</f>
        <v/>
      </c>
      <c r="C930" s="17" t="str">
        <f aca="false">IF(Transações!B930&lt;&gt;"",Transações!B930,"")</f>
        <v/>
      </c>
      <c r="D930" s="18" t="str">
        <f aca="false">IF(Transações!D930&lt;&gt;"",Transações!D930,"")</f>
        <v/>
      </c>
      <c r="E930" s="19" t="str">
        <f aca="false">IF(Transações!E930&lt;&gt;"",Transações!E930,"")</f>
        <v/>
      </c>
      <c r="F930" s="12" t="str">
        <f aca="false">IF(C930="Compra",D930*E930,IF(C930="Staking",D930*E930,""))</f>
        <v/>
      </c>
      <c r="G930" s="12" t="str">
        <f aca="false">IF(C930="Venda",IF(COUNTIF(A$3:A929,A930)&gt;0,(E930-SUMPRODUCT((A$3:A929=A930)*(C$3:C929="Compra")*F$3:F929)/IF(SUMPRODUCT((A$3:A929=A930)*(C$3:C929="Compra")*D$3:D929)=0,1,SUMPRODUCT((A$3:A929=A930)*(C$3:C929="Compra")*D$3:D929)))*D930,0),"")</f>
        <v/>
      </c>
      <c r="H930" s="12" t="str">
        <f aca="false">IF(C930="Venda",E930*D930,"")</f>
        <v/>
      </c>
    </row>
    <row r="931" customFormat="false" ht="15" hidden="false" customHeight="false" outlineLevel="0" collapsed="false">
      <c r="A931" s="14" t="str">
        <f aca="false">IF(Transações!C931&lt;&gt;"",Transações!C931,"")</f>
        <v/>
      </c>
      <c r="B931" s="14" t="str">
        <f aca="false">IF(Transações!A931&lt;&gt;"",Transações!A931,"")</f>
        <v/>
      </c>
      <c r="C931" s="14" t="str">
        <f aca="false">IF(Transações!B931&lt;&gt;"",Transações!B931,"")</f>
        <v/>
      </c>
      <c r="D931" s="15" t="str">
        <f aca="false">IF(Transações!D931&lt;&gt;"",Transações!D931,"")</f>
        <v/>
      </c>
      <c r="E931" s="16" t="str">
        <f aca="false">IF(Transações!E931&lt;&gt;"",Transações!E931,"")</f>
        <v/>
      </c>
      <c r="F931" s="7" t="str">
        <f aca="false">IF(C931="Compra",D931*E931,IF(C931="Staking",D931*E931,""))</f>
        <v/>
      </c>
      <c r="G931" s="7" t="str">
        <f aca="false">IF(C931="Venda",IF(COUNTIF(A$3:A930,A931)&gt;0,(E931-SUMPRODUCT((A$3:A930=A931)*(C$3:C930="Compra")*F$3:F930)/IF(SUMPRODUCT((A$3:A930=A931)*(C$3:C930="Compra")*D$3:D930)=0,1,SUMPRODUCT((A$3:A930=A931)*(C$3:C930="Compra")*D$3:D930)))*D931,0),"")</f>
        <v/>
      </c>
      <c r="H931" s="7" t="str">
        <f aca="false">IF(C931="Venda",E931*D931,"")</f>
        <v/>
      </c>
    </row>
    <row r="932" customFormat="false" ht="15" hidden="false" customHeight="false" outlineLevel="0" collapsed="false">
      <c r="A932" s="17" t="str">
        <f aca="false">IF(Transações!C932&lt;&gt;"",Transações!C932,"")</f>
        <v/>
      </c>
      <c r="B932" s="17" t="str">
        <f aca="false">IF(Transações!A932&lt;&gt;"",Transações!A932,"")</f>
        <v/>
      </c>
      <c r="C932" s="17" t="str">
        <f aca="false">IF(Transações!B932&lt;&gt;"",Transações!B932,"")</f>
        <v/>
      </c>
      <c r="D932" s="18" t="str">
        <f aca="false">IF(Transações!D932&lt;&gt;"",Transações!D932,"")</f>
        <v/>
      </c>
      <c r="E932" s="19" t="str">
        <f aca="false">IF(Transações!E932&lt;&gt;"",Transações!E932,"")</f>
        <v/>
      </c>
      <c r="F932" s="12" t="str">
        <f aca="false">IF(C932="Compra",D932*E932,IF(C932="Staking",D932*E932,""))</f>
        <v/>
      </c>
      <c r="G932" s="12" t="str">
        <f aca="false">IF(C932="Venda",IF(COUNTIF(A$3:A931,A932)&gt;0,(E932-SUMPRODUCT((A$3:A931=A932)*(C$3:C931="Compra")*F$3:F931)/IF(SUMPRODUCT((A$3:A931=A932)*(C$3:C931="Compra")*D$3:D931)=0,1,SUMPRODUCT((A$3:A931=A932)*(C$3:C931="Compra")*D$3:D931)))*D932,0),"")</f>
        <v/>
      </c>
      <c r="H932" s="12" t="str">
        <f aca="false">IF(C932="Venda",E932*D932,"")</f>
        <v/>
      </c>
    </row>
    <row r="933" customFormat="false" ht="15" hidden="false" customHeight="false" outlineLevel="0" collapsed="false">
      <c r="A933" s="14" t="str">
        <f aca="false">IF(Transações!C933&lt;&gt;"",Transações!C933,"")</f>
        <v/>
      </c>
      <c r="B933" s="14" t="str">
        <f aca="false">IF(Transações!A933&lt;&gt;"",Transações!A933,"")</f>
        <v/>
      </c>
      <c r="C933" s="14" t="str">
        <f aca="false">IF(Transações!B933&lt;&gt;"",Transações!B933,"")</f>
        <v/>
      </c>
      <c r="D933" s="15" t="str">
        <f aca="false">IF(Transações!D933&lt;&gt;"",Transações!D933,"")</f>
        <v/>
      </c>
      <c r="E933" s="16" t="str">
        <f aca="false">IF(Transações!E933&lt;&gt;"",Transações!E933,"")</f>
        <v/>
      </c>
      <c r="F933" s="7" t="str">
        <f aca="false">IF(C933="Compra",D933*E933,IF(C933="Staking",D933*E933,""))</f>
        <v/>
      </c>
      <c r="G933" s="7" t="str">
        <f aca="false">IF(C933="Venda",IF(COUNTIF(A$3:A932,A933)&gt;0,(E933-SUMPRODUCT((A$3:A932=A933)*(C$3:C932="Compra")*F$3:F932)/IF(SUMPRODUCT((A$3:A932=A933)*(C$3:C932="Compra")*D$3:D932)=0,1,SUMPRODUCT((A$3:A932=A933)*(C$3:C932="Compra")*D$3:D932)))*D933,0),"")</f>
        <v/>
      </c>
      <c r="H933" s="7" t="str">
        <f aca="false">IF(C933="Venda",E933*D933,"")</f>
        <v/>
      </c>
    </row>
    <row r="934" customFormat="false" ht="15" hidden="false" customHeight="false" outlineLevel="0" collapsed="false">
      <c r="A934" s="17" t="str">
        <f aca="false">IF(Transações!C934&lt;&gt;"",Transações!C934,"")</f>
        <v/>
      </c>
      <c r="B934" s="17" t="str">
        <f aca="false">IF(Transações!A934&lt;&gt;"",Transações!A934,"")</f>
        <v/>
      </c>
      <c r="C934" s="17" t="str">
        <f aca="false">IF(Transações!B934&lt;&gt;"",Transações!B934,"")</f>
        <v/>
      </c>
      <c r="D934" s="18" t="str">
        <f aca="false">IF(Transações!D934&lt;&gt;"",Transações!D934,"")</f>
        <v/>
      </c>
      <c r="E934" s="19" t="str">
        <f aca="false">IF(Transações!E934&lt;&gt;"",Transações!E934,"")</f>
        <v/>
      </c>
      <c r="F934" s="12" t="str">
        <f aca="false">IF(C934="Compra",D934*E934,IF(C934="Staking",D934*E934,""))</f>
        <v/>
      </c>
      <c r="G934" s="12" t="str">
        <f aca="false">IF(C934="Venda",IF(COUNTIF(A$3:A933,A934)&gt;0,(E934-SUMPRODUCT((A$3:A933=A934)*(C$3:C933="Compra")*F$3:F933)/IF(SUMPRODUCT((A$3:A933=A934)*(C$3:C933="Compra")*D$3:D933)=0,1,SUMPRODUCT((A$3:A933=A934)*(C$3:C933="Compra")*D$3:D933)))*D934,0),"")</f>
        <v/>
      </c>
      <c r="H934" s="12" t="str">
        <f aca="false">IF(C934="Venda",E934*D934,"")</f>
        <v/>
      </c>
    </row>
    <row r="935" customFormat="false" ht="15" hidden="false" customHeight="false" outlineLevel="0" collapsed="false">
      <c r="A935" s="14" t="str">
        <f aca="false">IF(Transações!C935&lt;&gt;"",Transações!C935,"")</f>
        <v/>
      </c>
      <c r="B935" s="14" t="str">
        <f aca="false">IF(Transações!A935&lt;&gt;"",Transações!A935,"")</f>
        <v/>
      </c>
      <c r="C935" s="14" t="str">
        <f aca="false">IF(Transações!B935&lt;&gt;"",Transações!B935,"")</f>
        <v/>
      </c>
      <c r="D935" s="15" t="str">
        <f aca="false">IF(Transações!D935&lt;&gt;"",Transações!D935,"")</f>
        <v/>
      </c>
      <c r="E935" s="16" t="str">
        <f aca="false">IF(Transações!E935&lt;&gt;"",Transações!E935,"")</f>
        <v/>
      </c>
      <c r="F935" s="7" t="str">
        <f aca="false">IF(C935="Compra",D935*E935,IF(C935="Staking",D935*E935,""))</f>
        <v/>
      </c>
      <c r="G935" s="7" t="str">
        <f aca="false">IF(C935="Venda",IF(COUNTIF(A$3:A934,A935)&gt;0,(E935-SUMPRODUCT((A$3:A934=A935)*(C$3:C934="Compra")*F$3:F934)/IF(SUMPRODUCT((A$3:A934=A935)*(C$3:C934="Compra")*D$3:D934)=0,1,SUMPRODUCT((A$3:A934=A935)*(C$3:C934="Compra")*D$3:D934)))*D935,0),"")</f>
        <v/>
      </c>
      <c r="H935" s="7" t="str">
        <f aca="false">IF(C935="Venda",E935*D935,"")</f>
        <v/>
      </c>
    </row>
    <row r="936" customFormat="false" ht="15" hidden="false" customHeight="false" outlineLevel="0" collapsed="false">
      <c r="A936" s="17" t="str">
        <f aca="false">IF(Transações!C936&lt;&gt;"",Transações!C936,"")</f>
        <v/>
      </c>
      <c r="B936" s="17" t="str">
        <f aca="false">IF(Transações!A936&lt;&gt;"",Transações!A936,"")</f>
        <v/>
      </c>
      <c r="C936" s="17" t="str">
        <f aca="false">IF(Transações!B936&lt;&gt;"",Transações!B936,"")</f>
        <v/>
      </c>
      <c r="D936" s="18" t="str">
        <f aca="false">IF(Transações!D936&lt;&gt;"",Transações!D936,"")</f>
        <v/>
      </c>
      <c r="E936" s="19" t="str">
        <f aca="false">IF(Transações!E936&lt;&gt;"",Transações!E936,"")</f>
        <v/>
      </c>
      <c r="F936" s="12" t="str">
        <f aca="false">IF(C936="Compra",D936*E936,IF(C936="Staking",D936*E936,""))</f>
        <v/>
      </c>
      <c r="G936" s="12" t="str">
        <f aca="false">IF(C936="Venda",IF(COUNTIF(A$3:A935,A936)&gt;0,(E936-SUMPRODUCT((A$3:A935=A936)*(C$3:C935="Compra")*F$3:F935)/IF(SUMPRODUCT((A$3:A935=A936)*(C$3:C935="Compra")*D$3:D935)=0,1,SUMPRODUCT((A$3:A935=A936)*(C$3:C935="Compra")*D$3:D935)))*D936,0),"")</f>
        <v/>
      </c>
      <c r="H936" s="12" t="str">
        <f aca="false">IF(C936="Venda",E936*D936,"")</f>
        <v/>
      </c>
    </row>
    <row r="937" customFormat="false" ht="15" hidden="false" customHeight="false" outlineLevel="0" collapsed="false">
      <c r="A937" s="14" t="str">
        <f aca="false">IF(Transações!C937&lt;&gt;"",Transações!C937,"")</f>
        <v/>
      </c>
      <c r="B937" s="14" t="str">
        <f aca="false">IF(Transações!A937&lt;&gt;"",Transações!A937,"")</f>
        <v/>
      </c>
      <c r="C937" s="14" t="str">
        <f aca="false">IF(Transações!B937&lt;&gt;"",Transações!B937,"")</f>
        <v/>
      </c>
      <c r="D937" s="15" t="str">
        <f aca="false">IF(Transações!D937&lt;&gt;"",Transações!D937,"")</f>
        <v/>
      </c>
      <c r="E937" s="16" t="str">
        <f aca="false">IF(Transações!E937&lt;&gt;"",Transações!E937,"")</f>
        <v/>
      </c>
      <c r="F937" s="7" t="str">
        <f aca="false">IF(C937="Compra",D937*E937,IF(C937="Staking",D937*E937,""))</f>
        <v/>
      </c>
      <c r="G937" s="7" t="str">
        <f aca="false">IF(C937="Venda",IF(COUNTIF(A$3:A936,A937)&gt;0,(E937-SUMPRODUCT((A$3:A936=A937)*(C$3:C936="Compra")*F$3:F936)/IF(SUMPRODUCT((A$3:A936=A937)*(C$3:C936="Compra")*D$3:D936)=0,1,SUMPRODUCT((A$3:A936=A937)*(C$3:C936="Compra")*D$3:D936)))*D937,0),"")</f>
        <v/>
      </c>
      <c r="H937" s="7" t="str">
        <f aca="false">IF(C937="Venda",E937*D937,"")</f>
        <v/>
      </c>
    </row>
    <row r="938" customFormat="false" ht="15" hidden="false" customHeight="false" outlineLevel="0" collapsed="false">
      <c r="A938" s="17" t="str">
        <f aca="false">IF(Transações!C938&lt;&gt;"",Transações!C938,"")</f>
        <v/>
      </c>
      <c r="B938" s="17" t="str">
        <f aca="false">IF(Transações!A938&lt;&gt;"",Transações!A938,"")</f>
        <v/>
      </c>
      <c r="C938" s="17" t="str">
        <f aca="false">IF(Transações!B938&lt;&gt;"",Transações!B938,"")</f>
        <v/>
      </c>
      <c r="D938" s="18" t="str">
        <f aca="false">IF(Transações!D938&lt;&gt;"",Transações!D938,"")</f>
        <v/>
      </c>
      <c r="E938" s="19" t="str">
        <f aca="false">IF(Transações!E938&lt;&gt;"",Transações!E938,"")</f>
        <v/>
      </c>
      <c r="F938" s="12" t="str">
        <f aca="false">IF(C938="Compra",D938*E938,IF(C938="Staking",D938*E938,""))</f>
        <v/>
      </c>
      <c r="G938" s="12" t="str">
        <f aca="false">IF(C938="Venda",IF(COUNTIF(A$3:A937,A938)&gt;0,(E938-SUMPRODUCT((A$3:A937=A938)*(C$3:C937="Compra")*F$3:F937)/IF(SUMPRODUCT((A$3:A937=A938)*(C$3:C937="Compra")*D$3:D937)=0,1,SUMPRODUCT((A$3:A937=A938)*(C$3:C937="Compra")*D$3:D937)))*D938,0),"")</f>
        <v/>
      </c>
      <c r="H938" s="12" t="str">
        <f aca="false">IF(C938="Venda",E938*D938,"")</f>
        <v/>
      </c>
    </row>
    <row r="939" customFormat="false" ht="15" hidden="false" customHeight="false" outlineLevel="0" collapsed="false">
      <c r="A939" s="14" t="str">
        <f aca="false">IF(Transações!C939&lt;&gt;"",Transações!C939,"")</f>
        <v/>
      </c>
      <c r="B939" s="14" t="str">
        <f aca="false">IF(Transações!A939&lt;&gt;"",Transações!A939,"")</f>
        <v/>
      </c>
      <c r="C939" s="14" t="str">
        <f aca="false">IF(Transações!B939&lt;&gt;"",Transações!B939,"")</f>
        <v/>
      </c>
      <c r="D939" s="15" t="str">
        <f aca="false">IF(Transações!D939&lt;&gt;"",Transações!D939,"")</f>
        <v/>
      </c>
      <c r="E939" s="16" t="str">
        <f aca="false">IF(Transações!E939&lt;&gt;"",Transações!E939,"")</f>
        <v/>
      </c>
      <c r="F939" s="7" t="str">
        <f aca="false">IF(C939="Compra",D939*E939,IF(C939="Staking",D939*E939,""))</f>
        <v/>
      </c>
      <c r="G939" s="7" t="str">
        <f aca="false">IF(C939="Venda",IF(COUNTIF(A$3:A938,A939)&gt;0,(E939-SUMPRODUCT((A$3:A938=A939)*(C$3:C938="Compra")*F$3:F938)/IF(SUMPRODUCT((A$3:A938=A939)*(C$3:C938="Compra")*D$3:D938)=0,1,SUMPRODUCT((A$3:A938=A939)*(C$3:C938="Compra")*D$3:D938)))*D939,0),"")</f>
        <v/>
      </c>
      <c r="H939" s="7" t="str">
        <f aca="false">IF(C939="Venda",E939*D939,"")</f>
        <v/>
      </c>
    </row>
    <row r="940" customFormat="false" ht="15" hidden="false" customHeight="false" outlineLevel="0" collapsed="false">
      <c r="A940" s="17" t="str">
        <f aca="false">IF(Transações!C940&lt;&gt;"",Transações!C940,"")</f>
        <v/>
      </c>
      <c r="B940" s="17" t="str">
        <f aca="false">IF(Transações!A940&lt;&gt;"",Transações!A940,"")</f>
        <v/>
      </c>
      <c r="C940" s="17" t="str">
        <f aca="false">IF(Transações!B940&lt;&gt;"",Transações!B940,"")</f>
        <v/>
      </c>
      <c r="D940" s="18" t="str">
        <f aca="false">IF(Transações!D940&lt;&gt;"",Transações!D940,"")</f>
        <v/>
      </c>
      <c r="E940" s="19" t="str">
        <f aca="false">IF(Transações!E940&lt;&gt;"",Transações!E940,"")</f>
        <v/>
      </c>
      <c r="F940" s="12" t="str">
        <f aca="false">IF(C940="Compra",D940*E940,IF(C940="Staking",D940*E940,""))</f>
        <v/>
      </c>
      <c r="G940" s="12" t="str">
        <f aca="false">IF(C940="Venda",IF(COUNTIF(A$3:A939,A940)&gt;0,(E940-SUMPRODUCT((A$3:A939=A940)*(C$3:C939="Compra")*F$3:F939)/IF(SUMPRODUCT((A$3:A939=A940)*(C$3:C939="Compra")*D$3:D939)=0,1,SUMPRODUCT((A$3:A939=A940)*(C$3:C939="Compra")*D$3:D939)))*D940,0),"")</f>
        <v/>
      </c>
      <c r="H940" s="12" t="str">
        <f aca="false">IF(C940="Venda",E940*D940,"")</f>
        <v/>
      </c>
    </row>
    <row r="941" customFormat="false" ht="15" hidden="false" customHeight="false" outlineLevel="0" collapsed="false">
      <c r="A941" s="14" t="str">
        <f aca="false">IF(Transações!C941&lt;&gt;"",Transações!C941,"")</f>
        <v/>
      </c>
      <c r="B941" s="14" t="str">
        <f aca="false">IF(Transações!A941&lt;&gt;"",Transações!A941,"")</f>
        <v/>
      </c>
      <c r="C941" s="14" t="str">
        <f aca="false">IF(Transações!B941&lt;&gt;"",Transações!B941,"")</f>
        <v/>
      </c>
      <c r="D941" s="15" t="str">
        <f aca="false">IF(Transações!D941&lt;&gt;"",Transações!D941,"")</f>
        <v/>
      </c>
      <c r="E941" s="16" t="str">
        <f aca="false">IF(Transações!E941&lt;&gt;"",Transações!E941,"")</f>
        <v/>
      </c>
      <c r="F941" s="7" t="str">
        <f aca="false">IF(C941="Compra",D941*E941,IF(C941="Staking",D941*E941,""))</f>
        <v/>
      </c>
      <c r="G941" s="7" t="str">
        <f aca="false">IF(C941="Venda",IF(COUNTIF(A$3:A940,A941)&gt;0,(E941-SUMPRODUCT((A$3:A940=A941)*(C$3:C940="Compra")*F$3:F940)/IF(SUMPRODUCT((A$3:A940=A941)*(C$3:C940="Compra")*D$3:D940)=0,1,SUMPRODUCT((A$3:A940=A941)*(C$3:C940="Compra")*D$3:D940)))*D941,0),"")</f>
        <v/>
      </c>
      <c r="H941" s="7" t="str">
        <f aca="false">IF(C941="Venda",E941*D941,"")</f>
        <v/>
      </c>
    </row>
    <row r="942" customFormat="false" ht="15" hidden="false" customHeight="false" outlineLevel="0" collapsed="false">
      <c r="A942" s="17" t="str">
        <f aca="false">IF(Transações!C942&lt;&gt;"",Transações!C942,"")</f>
        <v/>
      </c>
      <c r="B942" s="17" t="str">
        <f aca="false">IF(Transações!A942&lt;&gt;"",Transações!A942,"")</f>
        <v/>
      </c>
      <c r="C942" s="17" t="str">
        <f aca="false">IF(Transações!B942&lt;&gt;"",Transações!B942,"")</f>
        <v/>
      </c>
      <c r="D942" s="18" t="str">
        <f aca="false">IF(Transações!D942&lt;&gt;"",Transações!D942,"")</f>
        <v/>
      </c>
      <c r="E942" s="19" t="str">
        <f aca="false">IF(Transações!E942&lt;&gt;"",Transações!E942,"")</f>
        <v/>
      </c>
      <c r="F942" s="12" t="str">
        <f aca="false">IF(C942="Compra",D942*E942,IF(C942="Staking",D942*E942,""))</f>
        <v/>
      </c>
      <c r="G942" s="12" t="str">
        <f aca="false">IF(C942="Venda",IF(COUNTIF(A$3:A941,A942)&gt;0,(E942-SUMPRODUCT((A$3:A941=A942)*(C$3:C941="Compra")*F$3:F941)/IF(SUMPRODUCT((A$3:A941=A942)*(C$3:C941="Compra")*D$3:D941)=0,1,SUMPRODUCT((A$3:A941=A942)*(C$3:C941="Compra")*D$3:D941)))*D942,0),"")</f>
        <v/>
      </c>
      <c r="H942" s="12" t="str">
        <f aca="false">IF(C942="Venda",E942*D942,"")</f>
        <v/>
      </c>
    </row>
    <row r="943" customFormat="false" ht="15" hidden="false" customHeight="false" outlineLevel="0" collapsed="false">
      <c r="A943" s="14" t="str">
        <f aca="false">IF(Transações!C943&lt;&gt;"",Transações!C943,"")</f>
        <v/>
      </c>
      <c r="B943" s="14" t="str">
        <f aca="false">IF(Transações!A943&lt;&gt;"",Transações!A943,"")</f>
        <v/>
      </c>
      <c r="C943" s="14" t="str">
        <f aca="false">IF(Transações!B943&lt;&gt;"",Transações!B943,"")</f>
        <v/>
      </c>
      <c r="D943" s="15" t="str">
        <f aca="false">IF(Transações!D943&lt;&gt;"",Transações!D943,"")</f>
        <v/>
      </c>
      <c r="E943" s="16" t="str">
        <f aca="false">IF(Transações!E943&lt;&gt;"",Transações!E943,"")</f>
        <v/>
      </c>
      <c r="F943" s="7" t="str">
        <f aca="false">IF(C943="Compra",D943*E943,IF(C943="Staking",D943*E943,""))</f>
        <v/>
      </c>
      <c r="G943" s="7" t="str">
        <f aca="false">IF(C943="Venda",IF(COUNTIF(A$3:A942,A943)&gt;0,(E943-SUMPRODUCT((A$3:A942=A943)*(C$3:C942="Compra")*F$3:F942)/IF(SUMPRODUCT((A$3:A942=A943)*(C$3:C942="Compra")*D$3:D942)=0,1,SUMPRODUCT((A$3:A942=A943)*(C$3:C942="Compra")*D$3:D942)))*D943,0),"")</f>
        <v/>
      </c>
      <c r="H943" s="7" t="str">
        <f aca="false">IF(C943="Venda",E943*D943,"")</f>
        <v/>
      </c>
    </row>
    <row r="944" customFormat="false" ht="15" hidden="false" customHeight="false" outlineLevel="0" collapsed="false">
      <c r="A944" s="17" t="str">
        <f aca="false">IF(Transações!C944&lt;&gt;"",Transações!C944,"")</f>
        <v/>
      </c>
      <c r="B944" s="17" t="str">
        <f aca="false">IF(Transações!A944&lt;&gt;"",Transações!A944,"")</f>
        <v/>
      </c>
      <c r="C944" s="17" t="str">
        <f aca="false">IF(Transações!B944&lt;&gt;"",Transações!B944,"")</f>
        <v/>
      </c>
      <c r="D944" s="18" t="str">
        <f aca="false">IF(Transações!D944&lt;&gt;"",Transações!D944,"")</f>
        <v/>
      </c>
      <c r="E944" s="19" t="str">
        <f aca="false">IF(Transações!E944&lt;&gt;"",Transações!E944,"")</f>
        <v/>
      </c>
      <c r="F944" s="12" t="str">
        <f aca="false">IF(C944="Compra",D944*E944,IF(C944="Staking",D944*E944,""))</f>
        <v/>
      </c>
      <c r="G944" s="12" t="str">
        <f aca="false">IF(C944="Venda",IF(COUNTIF(A$3:A943,A944)&gt;0,(E944-SUMPRODUCT((A$3:A943=A944)*(C$3:C943="Compra")*F$3:F943)/IF(SUMPRODUCT((A$3:A943=A944)*(C$3:C943="Compra")*D$3:D943)=0,1,SUMPRODUCT((A$3:A943=A944)*(C$3:C943="Compra")*D$3:D943)))*D944,0),"")</f>
        <v/>
      </c>
      <c r="H944" s="12" t="str">
        <f aca="false">IF(C944="Venda",E944*D944,"")</f>
        <v/>
      </c>
    </row>
    <row r="945" customFormat="false" ht="15" hidden="false" customHeight="false" outlineLevel="0" collapsed="false">
      <c r="A945" s="14" t="str">
        <f aca="false">IF(Transações!C945&lt;&gt;"",Transações!C945,"")</f>
        <v/>
      </c>
      <c r="B945" s="14" t="str">
        <f aca="false">IF(Transações!A945&lt;&gt;"",Transações!A945,"")</f>
        <v/>
      </c>
      <c r="C945" s="14" t="str">
        <f aca="false">IF(Transações!B945&lt;&gt;"",Transações!B945,"")</f>
        <v/>
      </c>
      <c r="D945" s="15" t="str">
        <f aca="false">IF(Transações!D945&lt;&gt;"",Transações!D945,"")</f>
        <v/>
      </c>
      <c r="E945" s="16" t="str">
        <f aca="false">IF(Transações!E945&lt;&gt;"",Transações!E945,"")</f>
        <v/>
      </c>
      <c r="F945" s="7" t="str">
        <f aca="false">IF(C945="Compra",D945*E945,IF(C945="Staking",D945*E945,""))</f>
        <v/>
      </c>
      <c r="G945" s="7" t="str">
        <f aca="false">IF(C945="Venda",IF(COUNTIF(A$3:A944,A945)&gt;0,(E945-SUMPRODUCT((A$3:A944=A945)*(C$3:C944="Compra")*F$3:F944)/IF(SUMPRODUCT((A$3:A944=A945)*(C$3:C944="Compra")*D$3:D944)=0,1,SUMPRODUCT((A$3:A944=A945)*(C$3:C944="Compra")*D$3:D944)))*D945,0),"")</f>
        <v/>
      </c>
      <c r="H945" s="7" t="str">
        <f aca="false">IF(C945="Venda",E945*D945,"")</f>
        <v/>
      </c>
    </row>
    <row r="946" customFormat="false" ht="15" hidden="false" customHeight="false" outlineLevel="0" collapsed="false">
      <c r="A946" s="17" t="str">
        <f aca="false">IF(Transações!C946&lt;&gt;"",Transações!C946,"")</f>
        <v/>
      </c>
      <c r="B946" s="17" t="str">
        <f aca="false">IF(Transações!A946&lt;&gt;"",Transações!A946,"")</f>
        <v/>
      </c>
      <c r="C946" s="17" t="str">
        <f aca="false">IF(Transações!B946&lt;&gt;"",Transações!B946,"")</f>
        <v/>
      </c>
      <c r="D946" s="18" t="str">
        <f aca="false">IF(Transações!D946&lt;&gt;"",Transações!D946,"")</f>
        <v/>
      </c>
      <c r="E946" s="19" t="str">
        <f aca="false">IF(Transações!E946&lt;&gt;"",Transações!E946,"")</f>
        <v/>
      </c>
      <c r="F946" s="12" t="str">
        <f aca="false">IF(C946="Compra",D946*E946,IF(C946="Staking",D946*E946,""))</f>
        <v/>
      </c>
      <c r="G946" s="12" t="str">
        <f aca="false">IF(C946="Venda",IF(COUNTIF(A$3:A945,A946)&gt;0,(E946-SUMPRODUCT((A$3:A945=A946)*(C$3:C945="Compra")*F$3:F945)/IF(SUMPRODUCT((A$3:A945=A946)*(C$3:C945="Compra")*D$3:D945)=0,1,SUMPRODUCT((A$3:A945=A946)*(C$3:C945="Compra")*D$3:D945)))*D946,0),"")</f>
        <v/>
      </c>
      <c r="H946" s="12" t="str">
        <f aca="false">IF(C946="Venda",E946*D946,"")</f>
        <v/>
      </c>
    </row>
    <row r="947" customFormat="false" ht="15" hidden="false" customHeight="false" outlineLevel="0" collapsed="false">
      <c r="A947" s="14" t="str">
        <f aca="false">IF(Transações!C947&lt;&gt;"",Transações!C947,"")</f>
        <v/>
      </c>
      <c r="B947" s="14" t="str">
        <f aca="false">IF(Transações!A947&lt;&gt;"",Transações!A947,"")</f>
        <v/>
      </c>
      <c r="C947" s="14" t="str">
        <f aca="false">IF(Transações!B947&lt;&gt;"",Transações!B947,"")</f>
        <v/>
      </c>
      <c r="D947" s="15" t="str">
        <f aca="false">IF(Transações!D947&lt;&gt;"",Transações!D947,"")</f>
        <v/>
      </c>
      <c r="E947" s="16" t="str">
        <f aca="false">IF(Transações!E947&lt;&gt;"",Transações!E947,"")</f>
        <v/>
      </c>
      <c r="F947" s="7" t="str">
        <f aca="false">IF(C947="Compra",D947*E947,IF(C947="Staking",D947*E947,""))</f>
        <v/>
      </c>
      <c r="G947" s="7" t="str">
        <f aca="false">IF(C947="Venda",IF(COUNTIF(A$3:A946,A947)&gt;0,(E947-SUMPRODUCT((A$3:A946=A947)*(C$3:C946="Compra")*F$3:F946)/IF(SUMPRODUCT((A$3:A946=A947)*(C$3:C946="Compra")*D$3:D946)=0,1,SUMPRODUCT((A$3:A946=A947)*(C$3:C946="Compra")*D$3:D946)))*D947,0),"")</f>
        <v/>
      </c>
      <c r="H947" s="7" t="str">
        <f aca="false">IF(C947="Venda",E947*D947,"")</f>
        <v/>
      </c>
    </row>
    <row r="948" customFormat="false" ht="15" hidden="false" customHeight="false" outlineLevel="0" collapsed="false">
      <c r="A948" s="17" t="str">
        <f aca="false">IF(Transações!C948&lt;&gt;"",Transações!C948,"")</f>
        <v/>
      </c>
      <c r="B948" s="17" t="str">
        <f aca="false">IF(Transações!A948&lt;&gt;"",Transações!A948,"")</f>
        <v/>
      </c>
      <c r="C948" s="17" t="str">
        <f aca="false">IF(Transações!B948&lt;&gt;"",Transações!B948,"")</f>
        <v/>
      </c>
      <c r="D948" s="18" t="str">
        <f aca="false">IF(Transações!D948&lt;&gt;"",Transações!D948,"")</f>
        <v/>
      </c>
      <c r="E948" s="19" t="str">
        <f aca="false">IF(Transações!E948&lt;&gt;"",Transações!E948,"")</f>
        <v/>
      </c>
      <c r="F948" s="12" t="str">
        <f aca="false">IF(C948="Compra",D948*E948,IF(C948="Staking",D948*E948,""))</f>
        <v/>
      </c>
      <c r="G948" s="12" t="str">
        <f aca="false">IF(C948="Venda",IF(COUNTIF(A$3:A947,A948)&gt;0,(E948-SUMPRODUCT((A$3:A947=A948)*(C$3:C947="Compra")*F$3:F947)/IF(SUMPRODUCT((A$3:A947=A948)*(C$3:C947="Compra")*D$3:D947)=0,1,SUMPRODUCT((A$3:A947=A948)*(C$3:C947="Compra")*D$3:D947)))*D948,0),"")</f>
        <v/>
      </c>
      <c r="H948" s="12" t="str">
        <f aca="false">IF(C948="Venda",E948*D948,"")</f>
        <v/>
      </c>
    </row>
    <row r="949" customFormat="false" ht="15" hidden="false" customHeight="false" outlineLevel="0" collapsed="false">
      <c r="A949" s="14" t="str">
        <f aca="false">IF(Transações!C949&lt;&gt;"",Transações!C949,"")</f>
        <v/>
      </c>
      <c r="B949" s="14" t="str">
        <f aca="false">IF(Transações!A949&lt;&gt;"",Transações!A949,"")</f>
        <v/>
      </c>
      <c r="C949" s="14" t="str">
        <f aca="false">IF(Transações!B949&lt;&gt;"",Transações!B949,"")</f>
        <v/>
      </c>
      <c r="D949" s="15" t="str">
        <f aca="false">IF(Transações!D949&lt;&gt;"",Transações!D949,"")</f>
        <v/>
      </c>
      <c r="E949" s="16" t="str">
        <f aca="false">IF(Transações!E949&lt;&gt;"",Transações!E949,"")</f>
        <v/>
      </c>
      <c r="F949" s="7" t="str">
        <f aca="false">IF(C949="Compra",D949*E949,IF(C949="Staking",D949*E949,""))</f>
        <v/>
      </c>
      <c r="G949" s="7" t="str">
        <f aca="false">IF(C949="Venda",IF(COUNTIF(A$3:A948,A949)&gt;0,(E949-SUMPRODUCT((A$3:A948=A949)*(C$3:C948="Compra")*F$3:F948)/IF(SUMPRODUCT((A$3:A948=A949)*(C$3:C948="Compra")*D$3:D948)=0,1,SUMPRODUCT((A$3:A948=A949)*(C$3:C948="Compra")*D$3:D948)))*D949,0),"")</f>
        <v/>
      </c>
      <c r="H949" s="7" t="str">
        <f aca="false">IF(C949="Venda",E949*D949,"")</f>
        <v/>
      </c>
    </row>
    <row r="950" customFormat="false" ht="15" hidden="false" customHeight="false" outlineLevel="0" collapsed="false">
      <c r="A950" s="17" t="str">
        <f aca="false">IF(Transações!C950&lt;&gt;"",Transações!C950,"")</f>
        <v/>
      </c>
      <c r="B950" s="17" t="str">
        <f aca="false">IF(Transações!A950&lt;&gt;"",Transações!A950,"")</f>
        <v/>
      </c>
      <c r="C950" s="17" t="str">
        <f aca="false">IF(Transações!B950&lt;&gt;"",Transações!B950,"")</f>
        <v/>
      </c>
      <c r="D950" s="18" t="str">
        <f aca="false">IF(Transações!D950&lt;&gt;"",Transações!D950,"")</f>
        <v/>
      </c>
      <c r="E950" s="19" t="str">
        <f aca="false">IF(Transações!E950&lt;&gt;"",Transações!E950,"")</f>
        <v/>
      </c>
      <c r="F950" s="12" t="str">
        <f aca="false">IF(C950="Compra",D950*E950,IF(C950="Staking",D950*E950,""))</f>
        <v/>
      </c>
      <c r="G950" s="12" t="str">
        <f aca="false">IF(C950="Venda",IF(COUNTIF(A$3:A949,A950)&gt;0,(E950-SUMPRODUCT((A$3:A949=A950)*(C$3:C949="Compra")*F$3:F949)/IF(SUMPRODUCT((A$3:A949=A950)*(C$3:C949="Compra")*D$3:D949)=0,1,SUMPRODUCT((A$3:A949=A950)*(C$3:C949="Compra")*D$3:D949)))*D950,0),"")</f>
        <v/>
      </c>
      <c r="H950" s="12" t="str">
        <f aca="false">IF(C950="Venda",E950*D950,"")</f>
        <v/>
      </c>
    </row>
    <row r="951" customFormat="false" ht="15" hidden="false" customHeight="false" outlineLevel="0" collapsed="false">
      <c r="A951" s="14" t="str">
        <f aca="false">IF(Transações!C951&lt;&gt;"",Transações!C951,"")</f>
        <v/>
      </c>
      <c r="B951" s="14" t="str">
        <f aca="false">IF(Transações!A951&lt;&gt;"",Transações!A951,"")</f>
        <v/>
      </c>
      <c r="C951" s="14" t="str">
        <f aca="false">IF(Transações!B951&lt;&gt;"",Transações!B951,"")</f>
        <v/>
      </c>
      <c r="D951" s="15" t="str">
        <f aca="false">IF(Transações!D951&lt;&gt;"",Transações!D951,"")</f>
        <v/>
      </c>
      <c r="E951" s="16" t="str">
        <f aca="false">IF(Transações!E951&lt;&gt;"",Transações!E951,"")</f>
        <v/>
      </c>
      <c r="F951" s="7" t="str">
        <f aca="false">IF(C951="Compra",D951*E951,IF(C951="Staking",D951*E951,""))</f>
        <v/>
      </c>
      <c r="G951" s="7" t="str">
        <f aca="false">IF(C951="Venda",IF(COUNTIF(A$3:A950,A951)&gt;0,(E951-SUMPRODUCT((A$3:A950=A951)*(C$3:C950="Compra")*F$3:F950)/IF(SUMPRODUCT((A$3:A950=A951)*(C$3:C950="Compra")*D$3:D950)=0,1,SUMPRODUCT((A$3:A950=A951)*(C$3:C950="Compra")*D$3:D950)))*D951,0),"")</f>
        <v/>
      </c>
      <c r="H951" s="7" t="str">
        <f aca="false">IF(C951="Venda",E951*D951,"")</f>
        <v/>
      </c>
    </row>
    <row r="952" customFormat="false" ht="15" hidden="false" customHeight="false" outlineLevel="0" collapsed="false">
      <c r="A952" s="17" t="str">
        <f aca="false">IF(Transações!C952&lt;&gt;"",Transações!C952,"")</f>
        <v/>
      </c>
      <c r="B952" s="17" t="str">
        <f aca="false">IF(Transações!A952&lt;&gt;"",Transações!A952,"")</f>
        <v/>
      </c>
      <c r="C952" s="17" t="str">
        <f aca="false">IF(Transações!B952&lt;&gt;"",Transações!B952,"")</f>
        <v/>
      </c>
      <c r="D952" s="18" t="str">
        <f aca="false">IF(Transações!D952&lt;&gt;"",Transações!D952,"")</f>
        <v/>
      </c>
      <c r="E952" s="19" t="str">
        <f aca="false">IF(Transações!E952&lt;&gt;"",Transações!E952,"")</f>
        <v/>
      </c>
      <c r="F952" s="12" t="str">
        <f aca="false">IF(C952="Compra",D952*E952,IF(C952="Staking",D952*E952,""))</f>
        <v/>
      </c>
      <c r="G952" s="12" t="str">
        <f aca="false">IF(C952="Venda",IF(COUNTIF(A$3:A951,A952)&gt;0,(E952-SUMPRODUCT((A$3:A951=A952)*(C$3:C951="Compra")*F$3:F951)/IF(SUMPRODUCT((A$3:A951=A952)*(C$3:C951="Compra")*D$3:D951)=0,1,SUMPRODUCT((A$3:A951=A952)*(C$3:C951="Compra")*D$3:D951)))*D952,0),"")</f>
        <v/>
      </c>
      <c r="H952" s="12" t="str">
        <f aca="false">IF(C952="Venda",E952*D952,"")</f>
        <v/>
      </c>
    </row>
    <row r="953" customFormat="false" ht="15" hidden="false" customHeight="false" outlineLevel="0" collapsed="false">
      <c r="A953" s="14" t="str">
        <f aca="false">IF(Transações!C953&lt;&gt;"",Transações!C953,"")</f>
        <v/>
      </c>
      <c r="B953" s="14" t="str">
        <f aca="false">IF(Transações!A953&lt;&gt;"",Transações!A953,"")</f>
        <v/>
      </c>
      <c r="C953" s="14" t="str">
        <f aca="false">IF(Transações!B953&lt;&gt;"",Transações!B953,"")</f>
        <v/>
      </c>
      <c r="D953" s="15" t="str">
        <f aca="false">IF(Transações!D953&lt;&gt;"",Transações!D953,"")</f>
        <v/>
      </c>
      <c r="E953" s="16" t="str">
        <f aca="false">IF(Transações!E953&lt;&gt;"",Transações!E953,"")</f>
        <v/>
      </c>
      <c r="F953" s="7" t="str">
        <f aca="false">IF(C953="Compra",D953*E953,IF(C953="Staking",D953*E953,""))</f>
        <v/>
      </c>
      <c r="G953" s="7" t="str">
        <f aca="false">IF(C953="Venda",IF(COUNTIF(A$3:A952,A953)&gt;0,(E953-SUMPRODUCT((A$3:A952=A953)*(C$3:C952="Compra")*F$3:F952)/IF(SUMPRODUCT((A$3:A952=A953)*(C$3:C952="Compra")*D$3:D952)=0,1,SUMPRODUCT((A$3:A952=A953)*(C$3:C952="Compra")*D$3:D952)))*D953,0),"")</f>
        <v/>
      </c>
      <c r="H953" s="7" t="str">
        <f aca="false">IF(C953="Venda",E953*D953,"")</f>
        <v/>
      </c>
    </row>
    <row r="954" customFormat="false" ht="15" hidden="false" customHeight="false" outlineLevel="0" collapsed="false">
      <c r="A954" s="17" t="str">
        <f aca="false">IF(Transações!C954&lt;&gt;"",Transações!C954,"")</f>
        <v/>
      </c>
      <c r="B954" s="17" t="str">
        <f aca="false">IF(Transações!A954&lt;&gt;"",Transações!A954,"")</f>
        <v/>
      </c>
      <c r="C954" s="17" t="str">
        <f aca="false">IF(Transações!B954&lt;&gt;"",Transações!B954,"")</f>
        <v/>
      </c>
      <c r="D954" s="18" t="str">
        <f aca="false">IF(Transações!D954&lt;&gt;"",Transações!D954,"")</f>
        <v/>
      </c>
      <c r="E954" s="19" t="str">
        <f aca="false">IF(Transações!E954&lt;&gt;"",Transações!E954,"")</f>
        <v/>
      </c>
      <c r="F954" s="12" t="str">
        <f aca="false">IF(C954="Compra",D954*E954,IF(C954="Staking",D954*E954,""))</f>
        <v/>
      </c>
      <c r="G954" s="12" t="str">
        <f aca="false">IF(C954="Venda",IF(COUNTIF(A$3:A953,A954)&gt;0,(E954-SUMPRODUCT((A$3:A953=A954)*(C$3:C953="Compra")*F$3:F953)/IF(SUMPRODUCT((A$3:A953=A954)*(C$3:C953="Compra")*D$3:D953)=0,1,SUMPRODUCT((A$3:A953=A954)*(C$3:C953="Compra")*D$3:D953)))*D954,0),"")</f>
        <v/>
      </c>
      <c r="H954" s="12" t="str">
        <f aca="false">IF(C954="Venda",E954*D954,"")</f>
        <v/>
      </c>
    </row>
    <row r="955" customFormat="false" ht="15" hidden="false" customHeight="false" outlineLevel="0" collapsed="false">
      <c r="A955" s="14" t="str">
        <f aca="false">IF(Transações!C955&lt;&gt;"",Transações!C955,"")</f>
        <v/>
      </c>
      <c r="B955" s="14" t="str">
        <f aca="false">IF(Transações!A955&lt;&gt;"",Transações!A955,"")</f>
        <v/>
      </c>
      <c r="C955" s="14" t="str">
        <f aca="false">IF(Transações!B955&lt;&gt;"",Transações!B955,"")</f>
        <v/>
      </c>
      <c r="D955" s="15" t="str">
        <f aca="false">IF(Transações!D955&lt;&gt;"",Transações!D955,"")</f>
        <v/>
      </c>
      <c r="E955" s="16" t="str">
        <f aca="false">IF(Transações!E955&lt;&gt;"",Transações!E955,"")</f>
        <v/>
      </c>
      <c r="F955" s="7" t="str">
        <f aca="false">IF(C955="Compra",D955*E955,IF(C955="Staking",D955*E955,""))</f>
        <v/>
      </c>
      <c r="G955" s="7" t="str">
        <f aca="false">IF(C955="Venda",IF(COUNTIF(A$3:A954,A955)&gt;0,(E955-SUMPRODUCT((A$3:A954=A955)*(C$3:C954="Compra")*F$3:F954)/IF(SUMPRODUCT((A$3:A954=A955)*(C$3:C954="Compra")*D$3:D954)=0,1,SUMPRODUCT((A$3:A954=A955)*(C$3:C954="Compra")*D$3:D954)))*D955,0),"")</f>
        <v/>
      </c>
      <c r="H955" s="7" t="str">
        <f aca="false">IF(C955="Venda",E955*D955,"")</f>
        <v/>
      </c>
    </row>
    <row r="956" customFormat="false" ht="15" hidden="false" customHeight="false" outlineLevel="0" collapsed="false">
      <c r="A956" s="17" t="str">
        <f aca="false">IF(Transações!C956&lt;&gt;"",Transações!C956,"")</f>
        <v/>
      </c>
      <c r="B956" s="17" t="str">
        <f aca="false">IF(Transações!A956&lt;&gt;"",Transações!A956,"")</f>
        <v/>
      </c>
      <c r="C956" s="17" t="str">
        <f aca="false">IF(Transações!B956&lt;&gt;"",Transações!B956,"")</f>
        <v/>
      </c>
      <c r="D956" s="18" t="str">
        <f aca="false">IF(Transações!D956&lt;&gt;"",Transações!D956,"")</f>
        <v/>
      </c>
      <c r="E956" s="19" t="str">
        <f aca="false">IF(Transações!E956&lt;&gt;"",Transações!E956,"")</f>
        <v/>
      </c>
      <c r="F956" s="12" t="str">
        <f aca="false">IF(C956="Compra",D956*E956,IF(C956="Staking",D956*E956,""))</f>
        <v/>
      </c>
      <c r="G956" s="12" t="str">
        <f aca="false">IF(C956="Venda",IF(COUNTIF(A$3:A955,A956)&gt;0,(E956-SUMPRODUCT((A$3:A955=A956)*(C$3:C955="Compra")*F$3:F955)/IF(SUMPRODUCT((A$3:A955=A956)*(C$3:C955="Compra")*D$3:D955)=0,1,SUMPRODUCT((A$3:A955=A956)*(C$3:C955="Compra")*D$3:D955)))*D956,0),"")</f>
        <v/>
      </c>
      <c r="H956" s="12" t="str">
        <f aca="false">IF(C956="Venda",E956*D956,"")</f>
        <v/>
      </c>
    </row>
    <row r="957" customFormat="false" ht="15" hidden="false" customHeight="false" outlineLevel="0" collapsed="false">
      <c r="A957" s="14" t="str">
        <f aca="false">IF(Transações!C957&lt;&gt;"",Transações!C957,"")</f>
        <v/>
      </c>
      <c r="B957" s="14" t="str">
        <f aca="false">IF(Transações!A957&lt;&gt;"",Transações!A957,"")</f>
        <v/>
      </c>
      <c r="C957" s="14" t="str">
        <f aca="false">IF(Transações!B957&lt;&gt;"",Transações!B957,"")</f>
        <v/>
      </c>
      <c r="D957" s="15" t="str">
        <f aca="false">IF(Transações!D957&lt;&gt;"",Transações!D957,"")</f>
        <v/>
      </c>
      <c r="E957" s="16" t="str">
        <f aca="false">IF(Transações!E957&lt;&gt;"",Transações!E957,"")</f>
        <v/>
      </c>
      <c r="F957" s="7" t="str">
        <f aca="false">IF(C957="Compra",D957*E957,IF(C957="Staking",D957*E957,""))</f>
        <v/>
      </c>
      <c r="G957" s="7" t="str">
        <f aca="false">IF(C957="Venda",IF(COUNTIF(A$3:A956,A957)&gt;0,(E957-SUMPRODUCT((A$3:A956=A957)*(C$3:C956="Compra")*F$3:F956)/IF(SUMPRODUCT((A$3:A956=A957)*(C$3:C956="Compra")*D$3:D956)=0,1,SUMPRODUCT((A$3:A956=A957)*(C$3:C956="Compra")*D$3:D956)))*D957,0),"")</f>
        <v/>
      </c>
      <c r="H957" s="7" t="str">
        <f aca="false">IF(C957="Venda",E957*D957,"")</f>
        <v/>
      </c>
    </row>
    <row r="958" customFormat="false" ht="15" hidden="false" customHeight="false" outlineLevel="0" collapsed="false">
      <c r="A958" s="17" t="str">
        <f aca="false">IF(Transações!C958&lt;&gt;"",Transações!C958,"")</f>
        <v/>
      </c>
      <c r="B958" s="17" t="str">
        <f aca="false">IF(Transações!A958&lt;&gt;"",Transações!A958,"")</f>
        <v/>
      </c>
      <c r="C958" s="17" t="str">
        <f aca="false">IF(Transações!B958&lt;&gt;"",Transações!B958,"")</f>
        <v/>
      </c>
      <c r="D958" s="18" t="str">
        <f aca="false">IF(Transações!D958&lt;&gt;"",Transações!D958,"")</f>
        <v/>
      </c>
      <c r="E958" s="19" t="str">
        <f aca="false">IF(Transações!E958&lt;&gt;"",Transações!E958,"")</f>
        <v/>
      </c>
      <c r="F958" s="12" t="str">
        <f aca="false">IF(C958="Compra",D958*E958,IF(C958="Staking",D958*E958,""))</f>
        <v/>
      </c>
      <c r="G958" s="12" t="str">
        <f aca="false">IF(C958="Venda",IF(COUNTIF(A$3:A957,A958)&gt;0,(E958-SUMPRODUCT((A$3:A957=A958)*(C$3:C957="Compra")*F$3:F957)/IF(SUMPRODUCT((A$3:A957=A958)*(C$3:C957="Compra")*D$3:D957)=0,1,SUMPRODUCT((A$3:A957=A958)*(C$3:C957="Compra")*D$3:D957)))*D958,0),"")</f>
        <v/>
      </c>
      <c r="H958" s="12" t="str">
        <f aca="false">IF(C958="Venda",E958*D958,"")</f>
        <v/>
      </c>
    </row>
    <row r="959" customFormat="false" ht="15" hidden="false" customHeight="false" outlineLevel="0" collapsed="false">
      <c r="A959" s="14" t="str">
        <f aca="false">IF(Transações!C959&lt;&gt;"",Transações!C959,"")</f>
        <v/>
      </c>
      <c r="B959" s="14" t="str">
        <f aca="false">IF(Transações!A959&lt;&gt;"",Transações!A959,"")</f>
        <v/>
      </c>
      <c r="C959" s="14" t="str">
        <f aca="false">IF(Transações!B959&lt;&gt;"",Transações!B959,"")</f>
        <v/>
      </c>
      <c r="D959" s="15" t="str">
        <f aca="false">IF(Transações!D959&lt;&gt;"",Transações!D959,"")</f>
        <v/>
      </c>
      <c r="E959" s="16" t="str">
        <f aca="false">IF(Transações!E959&lt;&gt;"",Transações!E959,"")</f>
        <v/>
      </c>
      <c r="F959" s="7" t="str">
        <f aca="false">IF(C959="Compra",D959*E959,IF(C959="Staking",D959*E959,""))</f>
        <v/>
      </c>
      <c r="G959" s="7" t="str">
        <f aca="false">IF(C959="Venda",IF(COUNTIF(A$3:A958,A959)&gt;0,(E959-SUMPRODUCT((A$3:A958=A959)*(C$3:C958="Compra")*F$3:F958)/IF(SUMPRODUCT((A$3:A958=A959)*(C$3:C958="Compra")*D$3:D958)=0,1,SUMPRODUCT((A$3:A958=A959)*(C$3:C958="Compra")*D$3:D958)))*D959,0),"")</f>
        <v/>
      </c>
      <c r="H959" s="7" t="str">
        <f aca="false">IF(C959="Venda",E959*D959,"")</f>
        <v/>
      </c>
    </row>
    <row r="960" customFormat="false" ht="15" hidden="false" customHeight="false" outlineLevel="0" collapsed="false">
      <c r="A960" s="17" t="str">
        <f aca="false">IF(Transações!C960&lt;&gt;"",Transações!C960,"")</f>
        <v/>
      </c>
      <c r="B960" s="17" t="str">
        <f aca="false">IF(Transações!A960&lt;&gt;"",Transações!A960,"")</f>
        <v/>
      </c>
      <c r="C960" s="17" t="str">
        <f aca="false">IF(Transações!B960&lt;&gt;"",Transações!B960,"")</f>
        <v/>
      </c>
      <c r="D960" s="18" t="str">
        <f aca="false">IF(Transações!D960&lt;&gt;"",Transações!D960,"")</f>
        <v/>
      </c>
      <c r="E960" s="19" t="str">
        <f aca="false">IF(Transações!E960&lt;&gt;"",Transações!E960,"")</f>
        <v/>
      </c>
      <c r="F960" s="12" t="str">
        <f aca="false">IF(C960="Compra",D960*E960,IF(C960="Staking",D960*E960,""))</f>
        <v/>
      </c>
      <c r="G960" s="12" t="str">
        <f aca="false">IF(C960="Venda",IF(COUNTIF(A$3:A959,A960)&gt;0,(E960-SUMPRODUCT((A$3:A959=A960)*(C$3:C959="Compra")*F$3:F959)/IF(SUMPRODUCT((A$3:A959=A960)*(C$3:C959="Compra")*D$3:D959)=0,1,SUMPRODUCT((A$3:A959=A960)*(C$3:C959="Compra")*D$3:D959)))*D960,0),"")</f>
        <v/>
      </c>
      <c r="H960" s="12" t="str">
        <f aca="false">IF(C960="Venda",E960*D960,"")</f>
        <v/>
      </c>
    </row>
    <row r="961" customFormat="false" ht="15" hidden="false" customHeight="false" outlineLevel="0" collapsed="false">
      <c r="A961" s="14" t="str">
        <f aca="false">IF(Transações!C961&lt;&gt;"",Transações!C961,"")</f>
        <v/>
      </c>
      <c r="B961" s="14" t="str">
        <f aca="false">IF(Transações!A961&lt;&gt;"",Transações!A961,"")</f>
        <v/>
      </c>
      <c r="C961" s="14" t="str">
        <f aca="false">IF(Transações!B961&lt;&gt;"",Transações!B961,"")</f>
        <v/>
      </c>
      <c r="D961" s="15" t="str">
        <f aca="false">IF(Transações!D961&lt;&gt;"",Transações!D961,"")</f>
        <v/>
      </c>
      <c r="E961" s="16" t="str">
        <f aca="false">IF(Transações!E961&lt;&gt;"",Transações!E961,"")</f>
        <v/>
      </c>
      <c r="F961" s="7" t="str">
        <f aca="false">IF(C961="Compra",D961*E961,IF(C961="Staking",D961*E961,""))</f>
        <v/>
      </c>
      <c r="G961" s="7" t="str">
        <f aca="false">IF(C961="Venda",IF(COUNTIF(A$3:A960,A961)&gt;0,(E961-SUMPRODUCT((A$3:A960=A961)*(C$3:C960="Compra")*F$3:F960)/IF(SUMPRODUCT((A$3:A960=A961)*(C$3:C960="Compra")*D$3:D960)=0,1,SUMPRODUCT((A$3:A960=A961)*(C$3:C960="Compra")*D$3:D960)))*D961,0),"")</f>
        <v/>
      </c>
      <c r="H961" s="7" t="str">
        <f aca="false">IF(C961="Venda",E961*D961,"")</f>
        <v/>
      </c>
    </row>
    <row r="962" customFormat="false" ht="15" hidden="false" customHeight="false" outlineLevel="0" collapsed="false">
      <c r="A962" s="17" t="str">
        <f aca="false">IF(Transações!C962&lt;&gt;"",Transações!C962,"")</f>
        <v/>
      </c>
      <c r="B962" s="17" t="str">
        <f aca="false">IF(Transações!A962&lt;&gt;"",Transações!A962,"")</f>
        <v/>
      </c>
      <c r="C962" s="17" t="str">
        <f aca="false">IF(Transações!B962&lt;&gt;"",Transações!B962,"")</f>
        <v/>
      </c>
      <c r="D962" s="18" t="str">
        <f aca="false">IF(Transações!D962&lt;&gt;"",Transações!D962,"")</f>
        <v/>
      </c>
      <c r="E962" s="19" t="str">
        <f aca="false">IF(Transações!E962&lt;&gt;"",Transações!E962,"")</f>
        <v/>
      </c>
      <c r="F962" s="12" t="str">
        <f aca="false">IF(C962="Compra",D962*E962,IF(C962="Staking",D962*E962,""))</f>
        <v/>
      </c>
      <c r="G962" s="12" t="str">
        <f aca="false">IF(C962="Venda",IF(COUNTIF(A$3:A961,A962)&gt;0,(E962-SUMPRODUCT((A$3:A961=A962)*(C$3:C961="Compra")*F$3:F961)/IF(SUMPRODUCT((A$3:A961=A962)*(C$3:C961="Compra")*D$3:D961)=0,1,SUMPRODUCT((A$3:A961=A962)*(C$3:C961="Compra")*D$3:D961)))*D962,0),"")</f>
        <v/>
      </c>
      <c r="H962" s="12" t="str">
        <f aca="false">IF(C962="Venda",E962*D962,"")</f>
        <v/>
      </c>
    </row>
    <row r="963" customFormat="false" ht="15" hidden="false" customHeight="false" outlineLevel="0" collapsed="false">
      <c r="A963" s="14" t="str">
        <f aca="false">IF(Transações!C963&lt;&gt;"",Transações!C963,"")</f>
        <v/>
      </c>
      <c r="B963" s="14" t="str">
        <f aca="false">IF(Transações!A963&lt;&gt;"",Transações!A963,"")</f>
        <v/>
      </c>
      <c r="C963" s="14" t="str">
        <f aca="false">IF(Transações!B963&lt;&gt;"",Transações!B963,"")</f>
        <v/>
      </c>
      <c r="D963" s="15" t="str">
        <f aca="false">IF(Transações!D963&lt;&gt;"",Transações!D963,"")</f>
        <v/>
      </c>
      <c r="E963" s="16" t="str">
        <f aca="false">IF(Transações!E963&lt;&gt;"",Transações!E963,"")</f>
        <v/>
      </c>
      <c r="F963" s="7" t="str">
        <f aca="false">IF(C963="Compra",D963*E963,IF(C963="Staking",D963*E963,""))</f>
        <v/>
      </c>
      <c r="G963" s="7" t="str">
        <f aca="false">IF(C963="Venda",IF(COUNTIF(A$3:A962,A963)&gt;0,(E963-SUMPRODUCT((A$3:A962=A963)*(C$3:C962="Compra")*F$3:F962)/IF(SUMPRODUCT((A$3:A962=A963)*(C$3:C962="Compra")*D$3:D962)=0,1,SUMPRODUCT((A$3:A962=A963)*(C$3:C962="Compra")*D$3:D962)))*D963,0),"")</f>
        <v/>
      </c>
      <c r="H963" s="7" t="str">
        <f aca="false">IF(C963="Venda",E963*D963,"")</f>
        <v/>
      </c>
    </row>
    <row r="964" customFormat="false" ht="15" hidden="false" customHeight="false" outlineLevel="0" collapsed="false">
      <c r="A964" s="17" t="str">
        <f aca="false">IF(Transações!C964&lt;&gt;"",Transações!C964,"")</f>
        <v/>
      </c>
      <c r="B964" s="17" t="str">
        <f aca="false">IF(Transações!A964&lt;&gt;"",Transações!A964,"")</f>
        <v/>
      </c>
      <c r="C964" s="17" t="str">
        <f aca="false">IF(Transações!B964&lt;&gt;"",Transações!B964,"")</f>
        <v/>
      </c>
      <c r="D964" s="18" t="str">
        <f aca="false">IF(Transações!D964&lt;&gt;"",Transações!D964,"")</f>
        <v/>
      </c>
      <c r="E964" s="19" t="str">
        <f aca="false">IF(Transações!E964&lt;&gt;"",Transações!E964,"")</f>
        <v/>
      </c>
      <c r="F964" s="12" t="str">
        <f aca="false">IF(C964="Compra",D964*E964,IF(C964="Staking",D964*E964,""))</f>
        <v/>
      </c>
      <c r="G964" s="12" t="str">
        <f aca="false">IF(C964="Venda",IF(COUNTIF(A$3:A963,A964)&gt;0,(E964-SUMPRODUCT((A$3:A963=A964)*(C$3:C963="Compra")*F$3:F963)/IF(SUMPRODUCT((A$3:A963=A964)*(C$3:C963="Compra")*D$3:D963)=0,1,SUMPRODUCT((A$3:A963=A964)*(C$3:C963="Compra")*D$3:D963)))*D964,0),"")</f>
        <v/>
      </c>
      <c r="H964" s="12" t="str">
        <f aca="false">IF(C964="Venda",E964*D964,"")</f>
        <v/>
      </c>
    </row>
    <row r="965" customFormat="false" ht="15" hidden="false" customHeight="false" outlineLevel="0" collapsed="false">
      <c r="A965" s="14" t="str">
        <f aca="false">IF(Transações!C965&lt;&gt;"",Transações!C965,"")</f>
        <v/>
      </c>
      <c r="B965" s="14" t="str">
        <f aca="false">IF(Transações!A965&lt;&gt;"",Transações!A965,"")</f>
        <v/>
      </c>
      <c r="C965" s="14" t="str">
        <f aca="false">IF(Transações!B965&lt;&gt;"",Transações!B965,"")</f>
        <v/>
      </c>
      <c r="D965" s="15" t="str">
        <f aca="false">IF(Transações!D965&lt;&gt;"",Transações!D965,"")</f>
        <v/>
      </c>
      <c r="E965" s="16" t="str">
        <f aca="false">IF(Transações!E965&lt;&gt;"",Transações!E965,"")</f>
        <v/>
      </c>
      <c r="F965" s="7" t="str">
        <f aca="false">IF(C965="Compra",D965*E965,IF(C965="Staking",D965*E965,""))</f>
        <v/>
      </c>
      <c r="G965" s="7" t="str">
        <f aca="false">IF(C965="Venda",IF(COUNTIF(A$3:A964,A965)&gt;0,(E965-SUMPRODUCT((A$3:A964=A965)*(C$3:C964="Compra")*F$3:F964)/IF(SUMPRODUCT((A$3:A964=A965)*(C$3:C964="Compra")*D$3:D964)=0,1,SUMPRODUCT((A$3:A964=A965)*(C$3:C964="Compra")*D$3:D964)))*D965,0),"")</f>
        <v/>
      </c>
      <c r="H965" s="7" t="str">
        <f aca="false">IF(C965="Venda",E965*D965,"")</f>
        <v/>
      </c>
    </row>
    <row r="966" customFormat="false" ht="15" hidden="false" customHeight="false" outlineLevel="0" collapsed="false">
      <c r="A966" s="17" t="str">
        <f aca="false">IF(Transações!C966&lt;&gt;"",Transações!C966,"")</f>
        <v/>
      </c>
      <c r="B966" s="17" t="str">
        <f aca="false">IF(Transações!A966&lt;&gt;"",Transações!A966,"")</f>
        <v/>
      </c>
      <c r="C966" s="17" t="str">
        <f aca="false">IF(Transações!B966&lt;&gt;"",Transações!B966,"")</f>
        <v/>
      </c>
      <c r="D966" s="18" t="str">
        <f aca="false">IF(Transações!D966&lt;&gt;"",Transações!D966,"")</f>
        <v/>
      </c>
      <c r="E966" s="19" t="str">
        <f aca="false">IF(Transações!E966&lt;&gt;"",Transações!E966,"")</f>
        <v/>
      </c>
      <c r="F966" s="12" t="str">
        <f aca="false">IF(C966="Compra",D966*E966,IF(C966="Staking",D966*E966,""))</f>
        <v/>
      </c>
      <c r="G966" s="12" t="str">
        <f aca="false">IF(C966="Venda",IF(COUNTIF(A$3:A965,A966)&gt;0,(E966-SUMPRODUCT((A$3:A965=A966)*(C$3:C965="Compra")*F$3:F965)/IF(SUMPRODUCT((A$3:A965=A966)*(C$3:C965="Compra")*D$3:D965)=0,1,SUMPRODUCT((A$3:A965=A966)*(C$3:C965="Compra")*D$3:D965)))*D966,0),"")</f>
        <v/>
      </c>
      <c r="H966" s="12" t="str">
        <f aca="false">IF(C966="Venda",E966*D966,"")</f>
        <v/>
      </c>
    </row>
    <row r="967" customFormat="false" ht="15" hidden="false" customHeight="false" outlineLevel="0" collapsed="false">
      <c r="A967" s="14" t="str">
        <f aca="false">IF(Transações!C967&lt;&gt;"",Transações!C967,"")</f>
        <v/>
      </c>
      <c r="B967" s="14" t="str">
        <f aca="false">IF(Transações!A967&lt;&gt;"",Transações!A967,"")</f>
        <v/>
      </c>
      <c r="C967" s="14" t="str">
        <f aca="false">IF(Transações!B967&lt;&gt;"",Transações!B967,"")</f>
        <v/>
      </c>
      <c r="D967" s="15" t="str">
        <f aca="false">IF(Transações!D967&lt;&gt;"",Transações!D967,"")</f>
        <v/>
      </c>
      <c r="E967" s="16" t="str">
        <f aca="false">IF(Transações!E967&lt;&gt;"",Transações!E967,"")</f>
        <v/>
      </c>
      <c r="F967" s="7" t="str">
        <f aca="false">IF(C967="Compra",D967*E967,IF(C967="Staking",D967*E967,""))</f>
        <v/>
      </c>
      <c r="G967" s="7" t="str">
        <f aca="false">IF(C967="Venda",IF(COUNTIF(A$3:A966,A967)&gt;0,(E967-SUMPRODUCT((A$3:A966=A967)*(C$3:C966="Compra")*F$3:F966)/IF(SUMPRODUCT((A$3:A966=A967)*(C$3:C966="Compra")*D$3:D966)=0,1,SUMPRODUCT((A$3:A966=A967)*(C$3:C966="Compra")*D$3:D966)))*D967,0),"")</f>
        <v/>
      </c>
      <c r="H967" s="7" t="str">
        <f aca="false">IF(C967="Venda",E967*D967,"")</f>
        <v/>
      </c>
    </row>
    <row r="968" customFormat="false" ht="15" hidden="false" customHeight="false" outlineLevel="0" collapsed="false">
      <c r="A968" s="17" t="str">
        <f aca="false">IF(Transações!C968&lt;&gt;"",Transações!C968,"")</f>
        <v/>
      </c>
      <c r="B968" s="17" t="str">
        <f aca="false">IF(Transações!A968&lt;&gt;"",Transações!A968,"")</f>
        <v/>
      </c>
      <c r="C968" s="17" t="str">
        <f aca="false">IF(Transações!B968&lt;&gt;"",Transações!B968,"")</f>
        <v/>
      </c>
      <c r="D968" s="18" t="str">
        <f aca="false">IF(Transações!D968&lt;&gt;"",Transações!D968,"")</f>
        <v/>
      </c>
      <c r="E968" s="19" t="str">
        <f aca="false">IF(Transações!E968&lt;&gt;"",Transações!E968,"")</f>
        <v/>
      </c>
      <c r="F968" s="12" t="str">
        <f aca="false">IF(C968="Compra",D968*E968,IF(C968="Staking",D968*E968,""))</f>
        <v/>
      </c>
      <c r="G968" s="12" t="str">
        <f aca="false">IF(C968="Venda",IF(COUNTIF(A$3:A967,A968)&gt;0,(E968-SUMPRODUCT((A$3:A967=A968)*(C$3:C967="Compra")*F$3:F967)/IF(SUMPRODUCT((A$3:A967=A968)*(C$3:C967="Compra")*D$3:D967)=0,1,SUMPRODUCT((A$3:A967=A968)*(C$3:C967="Compra")*D$3:D967)))*D968,0),"")</f>
        <v/>
      </c>
      <c r="H968" s="12" t="str">
        <f aca="false">IF(C968="Venda",E968*D968,"")</f>
        <v/>
      </c>
    </row>
    <row r="969" customFormat="false" ht="15" hidden="false" customHeight="false" outlineLevel="0" collapsed="false">
      <c r="A969" s="14" t="str">
        <f aca="false">IF(Transações!C969&lt;&gt;"",Transações!C969,"")</f>
        <v/>
      </c>
      <c r="B969" s="14" t="str">
        <f aca="false">IF(Transações!A969&lt;&gt;"",Transações!A969,"")</f>
        <v/>
      </c>
      <c r="C969" s="14" t="str">
        <f aca="false">IF(Transações!B969&lt;&gt;"",Transações!B969,"")</f>
        <v/>
      </c>
      <c r="D969" s="15" t="str">
        <f aca="false">IF(Transações!D969&lt;&gt;"",Transações!D969,"")</f>
        <v/>
      </c>
      <c r="E969" s="16" t="str">
        <f aca="false">IF(Transações!E969&lt;&gt;"",Transações!E969,"")</f>
        <v/>
      </c>
      <c r="F969" s="7" t="str">
        <f aca="false">IF(C969="Compra",D969*E969,IF(C969="Staking",D969*E969,""))</f>
        <v/>
      </c>
      <c r="G969" s="7" t="str">
        <f aca="false">IF(C969="Venda",IF(COUNTIF(A$3:A968,A969)&gt;0,(E969-SUMPRODUCT((A$3:A968=A969)*(C$3:C968="Compra")*F$3:F968)/IF(SUMPRODUCT((A$3:A968=A969)*(C$3:C968="Compra")*D$3:D968)=0,1,SUMPRODUCT((A$3:A968=A969)*(C$3:C968="Compra")*D$3:D968)))*D969,0),"")</f>
        <v/>
      </c>
      <c r="H969" s="7" t="str">
        <f aca="false">IF(C969="Venda",E969*D969,"")</f>
        <v/>
      </c>
    </row>
    <row r="970" customFormat="false" ht="15" hidden="false" customHeight="false" outlineLevel="0" collapsed="false">
      <c r="A970" s="17" t="str">
        <f aca="false">IF(Transações!C970&lt;&gt;"",Transações!C970,"")</f>
        <v/>
      </c>
      <c r="B970" s="17" t="str">
        <f aca="false">IF(Transações!A970&lt;&gt;"",Transações!A970,"")</f>
        <v/>
      </c>
      <c r="C970" s="17" t="str">
        <f aca="false">IF(Transações!B970&lt;&gt;"",Transações!B970,"")</f>
        <v/>
      </c>
      <c r="D970" s="18" t="str">
        <f aca="false">IF(Transações!D970&lt;&gt;"",Transações!D970,"")</f>
        <v/>
      </c>
      <c r="E970" s="19" t="str">
        <f aca="false">IF(Transações!E970&lt;&gt;"",Transações!E970,"")</f>
        <v/>
      </c>
      <c r="F970" s="12" t="str">
        <f aca="false">IF(C970="Compra",D970*E970,IF(C970="Staking",D970*E970,""))</f>
        <v/>
      </c>
      <c r="G970" s="12" t="str">
        <f aca="false">IF(C970="Venda",IF(COUNTIF(A$3:A969,A970)&gt;0,(E970-SUMPRODUCT((A$3:A969=A970)*(C$3:C969="Compra")*F$3:F969)/IF(SUMPRODUCT((A$3:A969=A970)*(C$3:C969="Compra")*D$3:D969)=0,1,SUMPRODUCT((A$3:A969=A970)*(C$3:C969="Compra")*D$3:D969)))*D970,0),"")</f>
        <v/>
      </c>
      <c r="H970" s="12" t="str">
        <f aca="false">IF(C970="Venda",E970*D970,"")</f>
        <v/>
      </c>
    </row>
    <row r="971" customFormat="false" ht="15" hidden="false" customHeight="false" outlineLevel="0" collapsed="false">
      <c r="A971" s="14" t="str">
        <f aca="false">IF(Transações!C971&lt;&gt;"",Transações!C971,"")</f>
        <v/>
      </c>
      <c r="B971" s="14" t="str">
        <f aca="false">IF(Transações!A971&lt;&gt;"",Transações!A971,"")</f>
        <v/>
      </c>
      <c r="C971" s="14" t="str">
        <f aca="false">IF(Transações!B971&lt;&gt;"",Transações!B971,"")</f>
        <v/>
      </c>
      <c r="D971" s="15" t="str">
        <f aca="false">IF(Transações!D971&lt;&gt;"",Transações!D971,"")</f>
        <v/>
      </c>
      <c r="E971" s="16" t="str">
        <f aca="false">IF(Transações!E971&lt;&gt;"",Transações!E971,"")</f>
        <v/>
      </c>
      <c r="F971" s="7" t="str">
        <f aca="false">IF(C971="Compra",D971*E971,IF(C971="Staking",D971*E971,""))</f>
        <v/>
      </c>
      <c r="G971" s="7" t="str">
        <f aca="false">IF(C971="Venda",IF(COUNTIF(A$3:A970,A971)&gt;0,(E971-SUMPRODUCT((A$3:A970=A971)*(C$3:C970="Compra")*F$3:F970)/IF(SUMPRODUCT((A$3:A970=A971)*(C$3:C970="Compra")*D$3:D970)=0,1,SUMPRODUCT((A$3:A970=A971)*(C$3:C970="Compra")*D$3:D970)))*D971,0),"")</f>
        <v/>
      </c>
      <c r="H971" s="7" t="str">
        <f aca="false">IF(C971="Venda",E971*D971,"")</f>
        <v/>
      </c>
    </row>
    <row r="972" customFormat="false" ht="15" hidden="false" customHeight="false" outlineLevel="0" collapsed="false">
      <c r="A972" s="17" t="str">
        <f aca="false">IF(Transações!C972&lt;&gt;"",Transações!C972,"")</f>
        <v/>
      </c>
      <c r="B972" s="17" t="str">
        <f aca="false">IF(Transações!A972&lt;&gt;"",Transações!A972,"")</f>
        <v/>
      </c>
      <c r="C972" s="17" t="str">
        <f aca="false">IF(Transações!B972&lt;&gt;"",Transações!B972,"")</f>
        <v/>
      </c>
      <c r="D972" s="18" t="str">
        <f aca="false">IF(Transações!D972&lt;&gt;"",Transações!D972,"")</f>
        <v/>
      </c>
      <c r="E972" s="19" t="str">
        <f aca="false">IF(Transações!E972&lt;&gt;"",Transações!E972,"")</f>
        <v/>
      </c>
      <c r="F972" s="12" t="str">
        <f aca="false">IF(C972="Compra",D972*E972,IF(C972="Staking",D972*E972,""))</f>
        <v/>
      </c>
      <c r="G972" s="12" t="str">
        <f aca="false">IF(C972="Venda",IF(COUNTIF(A$3:A971,A972)&gt;0,(E972-SUMPRODUCT((A$3:A971=A972)*(C$3:C971="Compra")*F$3:F971)/IF(SUMPRODUCT((A$3:A971=A972)*(C$3:C971="Compra")*D$3:D971)=0,1,SUMPRODUCT((A$3:A971=A972)*(C$3:C971="Compra")*D$3:D971)))*D972,0),"")</f>
        <v/>
      </c>
      <c r="H972" s="12" t="str">
        <f aca="false">IF(C972="Venda",E972*D972,"")</f>
        <v/>
      </c>
    </row>
    <row r="973" customFormat="false" ht="15" hidden="false" customHeight="false" outlineLevel="0" collapsed="false">
      <c r="A973" s="14" t="str">
        <f aca="false">IF(Transações!C973&lt;&gt;"",Transações!C973,"")</f>
        <v/>
      </c>
      <c r="B973" s="14" t="str">
        <f aca="false">IF(Transações!A973&lt;&gt;"",Transações!A973,"")</f>
        <v/>
      </c>
      <c r="C973" s="14" t="str">
        <f aca="false">IF(Transações!B973&lt;&gt;"",Transações!B973,"")</f>
        <v/>
      </c>
      <c r="D973" s="15" t="str">
        <f aca="false">IF(Transações!D973&lt;&gt;"",Transações!D973,"")</f>
        <v/>
      </c>
      <c r="E973" s="16" t="str">
        <f aca="false">IF(Transações!E973&lt;&gt;"",Transações!E973,"")</f>
        <v/>
      </c>
      <c r="F973" s="7" t="str">
        <f aca="false">IF(C973="Compra",D973*E973,IF(C973="Staking",D973*E973,""))</f>
        <v/>
      </c>
      <c r="G973" s="7" t="str">
        <f aca="false">IF(C973="Venda",IF(COUNTIF(A$3:A972,A973)&gt;0,(E973-SUMPRODUCT((A$3:A972=A973)*(C$3:C972="Compra")*F$3:F972)/IF(SUMPRODUCT((A$3:A972=A973)*(C$3:C972="Compra")*D$3:D972)=0,1,SUMPRODUCT((A$3:A972=A973)*(C$3:C972="Compra")*D$3:D972)))*D973,0),"")</f>
        <v/>
      </c>
      <c r="H973" s="7" t="str">
        <f aca="false">IF(C973="Venda",E973*D973,"")</f>
        <v/>
      </c>
    </row>
    <row r="974" customFormat="false" ht="15" hidden="false" customHeight="false" outlineLevel="0" collapsed="false">
      <c r="A974" s="17" t="str">
        <f aca="false">IF(Transações!C974&lt;&gt;"",Transações!C974,"")</f>
        <v/>
      </c>
      <c r="B974" s="17" t="str">
        <f aca="false">IF(Transações!A974&lt;&gt;"",Transações!A974,"")</f>
        <v/>
      </c>
      <c r="C974" s="17" t="str">
        <f aca="false">IF(Transações!B974&lt;&gt;"",Transações!B974,"")</f>
        <v/>
      </c>
      <c r="D974" s="18" t="str">
        <f aca="false">IF(Transações!D974&lt;&gt;"",Transações!D974,"")</f>
        <v/>
      </c>
      <c r="E974" s="19" t="str">
        <f aca="false">IF(Transações!E974&lt;&gt;"",Transações!E974,"")</f>
        <v/>
      </c>
      <c r="F974" s="12" t="str">
        <f aca="false">IF(C974="Compra",D974*E974,IF(C974="Staking",D974*E974,""))</f>
        <v/>
      </c>
      <c r="G974" s="12" t="str">
        <f aca="false">IF(C974="Venda",IF(COUNTIF(A$3:A973,A974)&gt;0,(E974-SUMPRODUCT((A$3:A973=A974)*(C$3:C973="Compra")*F$3:F973)/IF(SUMPRODUCT((A$3:A973=A974)*(C$3:C973="Compra")*D$3:D973)=0,1,SUMPRODUCT((A$3:A973=A974)*(C$3:C973="Compra")*D$3:D973)))*D974,0),"")</f>
        <v/>
      </c>
      <c r="H974" s="12" t="str">
        <f aca="false">IF(C974="Venda",E974*D974,"")</f>
        <v/>
      </c>
    </row>
    <row r="975" customFormat="false" ht="15" hidden="false" customHeight="false" outlineLevel="0" collapsed="false">
      <c r="A975" s="14" t="str">
        <f aca="false">IF(Transações!C975&lt;&gt;"",Transações!C975,"")</f>
        <v/>
      </c>
      <c r="B975" s="14" t="str">
        <f aca="false">IF(Transações!A975&lt;&gt;"",Transações!A975,"")</f>
        <v/>
      </c>
      <c r="C975" s="14" t="str">
        <f aca="false">IF(Transações!B975&lt;&gt;"",Transações!B975,"")</f>
        <v/>
      </c>
      <c r="D975" s="15" t="str">
        <f aca="false">IF(Transações!D975&lt;&gt;"",Transações!D975,"")</f>
        <v/>
      </c>
      <c r="E975" s="16" t="str">
        <f aca="false">IF(Transações!E975&lt;&gt;"",Transações!E975,"")</f>
        <v/>
      </c>
      <c r="F975" s="7" t="str">
        <f aca="false">IF(C975="Compra",D975*E975,IF(C975="Staking",D975*E975,""))</f>
        <v/>
      </c>
      <c r="G975" s="7" t="str">
        <f aca="false">IF(C975="Venda",IF(COUNTIF(A$3:A974,A975)&gt;0,(E975-SUMPRODUCT((A$3:A974=A975)*(C$3:C974="Compra")*F$3:F974)/IF(SUMPRODUCT((A$3:A974=A975)*(C$3:C974="Compra")*D$3:D974)=0,1,SUMPRODUCT((A$3:A974=A975)*(C$3:C974="Compra")*D$3:D974)))*D975,0),"")</f>
        <v/>
      </c>
      <c r="H975" s="7" t="str">
        <f aca="false">IF(C975="Venda",E975*D975,"")</f>
        <v/>
      </c>
    </row>
    <row r="976" customFormat="false" ht="15" hidden="false" customHeight="false" outlineLevel="0" collapsed="false">
      <c r="A976" s="17" t="str">
        <f aca="false">IF(Transações!C976&lt;&gt;"",Transações!C976,"")</f>
        <v/>
      </c>
      <c r="B976" s="17" t="str">
        <f aca="false">IF(Transações!A976&lt;&gt;"",Transações!A976,"")</f>
        <v/>
      </c>
      <c r="C976" s="17" t="str">
        <f aca="false">IF(Transações!B976&lt;&gt;"",Transações!B976,"")</f>
        <v/>
      </c>
      <c r="D976" s="18" t="str">
        <f aca="false">IF(Transações!D976&lt;&gt;"",Transações!D976,"")</f>
        <v/>
      </c>
      <c r="E976" s="19" t="str">
        <f aca="false">IF(Transações!E976&lt;&gt;"",Transações!E976,"")</f>
        <v/>
      </c>
      <c r="F976" s="12" t="str">
        <f aca="false">IF(C976="Compra",D976*E976,IF(C976="Staking",D976*E976,""))</f>
        <v/>
      </c>
      <c r="G976" s="12" t="str">
        <f aca="false">IF(C976="Venda",IF(COUNTIF(A$3:A975,A976)&gt;0,(E976-SUMPRODUCT((A$3:A975=A976)*(C$3:C975="Compra")*F$3:F975)/IF(SUMPRODUCT((A$3:A975=A976)*(C$3:C975="Compra")*D$3:D975)=0,1,SUMPRODUCT((A$3:A975=A976)*(C$3:C975="Compra")*D$3:D975)))*D976,0),"")</f>
        <v/>
      </c>
      <c r="H976" s="12" t="str">
        <f aca="false">IF(C976="Venda",E976*D976,"")</f>
        <v/>
      </c>
    </row>
    <row r="977" customFormat="false" ht="15" hidden="false" customHeight="false" outlineLevel="0" collapsed="false">
      <c r="A977" s="14" t="str">
        <f aca="false">IF(Transações!C977&lt;&gt;"",Transações!C977,"")</f>
        <v/>
      </c>
      <c r="B977" s="14" t="str">
        <f aca="false">IF(Transações!A977&lt;&gt;"",Transações!A977,"")</f>
        <v/>
      </c>
      <c r="C977" s="14" t="str">
        <f aca="false">IF(Transações!B977&lt;&gt;"",Transações!B977,"")</f>
        <v/>
      </c>
      <c r="D977" s="15" t="str">
        <f aca="false">IF(Transações!D977&lt;&gt;"",Transações!D977,"")</f>
        <v/>
      </c>
      <c r="E977" s="16" t="str">
        <f aca="false">IF(Transações!E977&lt;&gt;"",Transações!E977,"")</f>
        <v/>
      </c>
      <c r="F977" s="7" t="str">
        <f aca="false">IF(C977="Compra",D977*E977,IF(C977="Staking",D977*E977,""))</f>
        <v/>
      </c>
      <c r="G977" s="7" t="str">
        <f aca="false">IF(C977="Venda",IF(COUNTIF(A$3:A976,A977)&gt;0,(E977-SUMPRODUCT((A$3:A976=A977)*(C$3:C976="Compra")*F$3:F976)/IF(SUMPRODUCT((A$3:A976=A977)*(C$3:C976="Compra")*D$3:D976)=0,1,SUMPRODUCT((A$3:A976=A977)*(C$3:C976="Compra")*D$3:D976)))*D977,0),"")</f>
        <v/>
      </c>
      <c r="H977" s="7" t="str">
        <f aca="false">IF(C977="Venda",E977*D977,"")</f>
        <v/>
      </c>
    </row>
    <row r="978" customFormat="false" ht="15" hidden="false" customHeight="false" outlineLevel="0" collapsed="false">
      <c r="A978" s="17" t="str">
        <f aca="false">IF(Transações!C978&lt;&gt;"",Transações!C978,"")</f>
        <v/>
      </c>
      <c r="B978" s="17" t="str">
        <f aca="false">IF(Transações!A978&lt;&gt;"",Transações!A978,"")</f>
        <v/>
      </c>
      <c r="C978" s="17" t="str">
        <f aca="false">IF(Transações!B978&lt;&gt;"",Transações!B978,"")</f>
        <v/>
      </c>
      <c r="D978" s="18" t="str">
        <f aca="false">IF(Transações!D978&lt;&gt;"",Transações!D978,"")</f>
        <v/>
      </c>
      <c r="E978" s="19" t="str">
        <f aca="false">IF(Transações!E978&lt;&gt;"",Transações!E978,"")</f>
        <v/>
      </c>
      <c r="F978" s="12" t="str">
        <f aca="false">IF(C978="Compra",D978*E978,IF(C978="Staking",D978*E978,""))</f>
        <v/>
      </c>
      <c r="G978" s="12" t="str">
        <f aca="false">IF(C978="Venda",IF(COUNTIF(A$3:A977,A978)&gt;0,(E978-SUMPRODUCT((A$3:A977=A978)*(C$3:C977="Compra")*F$3:F977)/IF(SUMPRODUCT((A$3:A977=A978)*(C$3:C977="Compra")*D$3:D977)=0,1,SUMPRODUCT((A$3:A977=A978)*(C$3:C977="Compra")*D$3:D977)))*D978,0),"")</f>
        <v/>
      </c>
      <c r="H978" s="12" t="str">
        <f aca="false">IF(C978="Venda",E978*D978,"")</f>
        <v/>
      </c>
    </row>
    <row r="979" customFormat="false" ht="15" hidden="false" customHeight="false" outlineLevel="0" collapsed="false">
      <c r="A979" s="14" t="str">
        <f aca="false">IF(Transações!C979&lt;&gt;"",Transações!C979,"")</f>
        <v/>
      </c>
      <c r="B979" s="14" t="str">
        <f aca="false">IF(Transações!A979&lt;&gt;"",Transações!A979,"")</f>
        <v/>
      </c>
      <c r="C979" s="14" t="str">
        <f aca="false">IF(Transações!B979&lt;&gt;"",Transações!B979,"")</f>
        <v/>
      </c>
      <c r="D979" s="15" t="str">
        <f aca="false">IF(Transações!D979&lt;&gt;"",Transações!D979,"")</f>
        <v/>
      </c>
      <c r="E979" s="16" t="str">
        <f aca="false">IF(Transações!E979&lt;&gt;"",Transações!E979,"")</f>
        <v/>
      </c>
      <c r="F979" s="7" t="str">
        <f aca="false">IF(C979="Compra",D979*E979,IF(C979="Staking",D979*E979,""))</f>
        <v/>
      </c>
      <c r="G979" s="7" t="str">
        <f aca="false">IF(C979="Venda",IF(COUNTIF(A$3:A978,A979)&gt;0,(E979-SUMPRODUCT((A$3:A978=A979)*(C$3:C978="Compra")*F$3:F978)/IF(SUMPRODUCT((A$3:A978=A979)*(C$3:C978="Compra")*D$3:D978)=0,1,SUMPRODUCT((A$3:A978=A979)*(C$3:C978="Compra")*D$3:D978)))*D979,0),"")</f>
        <v/>
      </c>
      <c r="H979" s="7" t="str">
        <f aca="false">IF(C979="Venda",E979*D979,"")</f>
        <v/>
      </c>
    </row>
    <row r="980" customFormat="false" ht="15" hidden="false" customHeight="false" outlineLevel="0" collapsed="false">
      <c r="A980" s="17" t="str">
        <f aca="false">IF(Transações!C980&lt;&gt;"",Transações!C980,"")</f>
        <v/>
      </c>
      <c r="B980" s="17" t="str">
        <f aca="false">IF(Transações!A980&lt;&gt;"",Transações!A980,"")</f>
        <v/>
      </c>
      <c r="C980" s="17" t="str">
        <f aca="false">IF(Transações!B980&lt;&gt;"",Transações!B980,"")</f>
        <v/>
      </c>
      <c r="D980" s="18" t="str">
        <f aca="false">IF(Transações!D980&lt;&gt;"",Transações!D980,"")</f>
        <v/>
      </c>
      <c r="E980" s="19" t="str">
        <f aca="false">IF(Transações!E980&lt;&gt;"",Transações!E980,"")</f>
        <v/>
      </c>
      <c r="F980" s="12" t="str">
        <f aca="false">IF(C980="Compra",D980*E980,IF(C980="Staking",D980*E980,""))</f>
        <v/>
      </c>
      <c r="G980" s="12" t="str">
        <f aca="false">IF(C980="Venda",IF(COUNTIF(A$3:A979,A980)&gt;0,(E980-SUMPRODUCT((A$3:A979=A980)*(C$3:C979="Compra")*F$3:F979)/IF(SUMPRODUCT((A$3:A979=A980)*(C$3:C979="Compra")*D$3:D979)=0,1,SUMPRODUCT((A$3:A979=A980)*(C$3:C979="Compra")*D$3:D979)))*D980,0),"")</f>
        <v/>
      </c>
      <c r="H980" s="12" t="str">
        <f aca="false">IF(C980="Venda",E980*D980,"")</f>
        <v/>
      </c>
    </row>
    <row r="981" customFormat="false" ht="15" hidden="false" customHeight="false" outlineLevel="0" collapsed="false">
      <c r="A981" s="14" t="str">
        <f aca="false">IF(Transações!C981&lt;&gt;"",Transações!C981,"")</f>
        <v/>
      </c>
      <c r="B981" s="14" t="str">
        <f aca="false">IF(Transações!A981&lt;&gt;"",Transações!A981,"")</f>
        <v/>
      </c>
      <c r="C981" s="14" t="str">
        <f aca="false">IF(Transações!B981&lt;&gt;"",Transações!B981,"")</f>
        <v/>
      </c>
      <c r="D981" s="15" t="str">
        <f aca="false">IF(Transações!D981&lt;&gt;"",Transações!D981,"")</f>
        <v/>
      </c>
      <c r="E981" s="16" t="str">
        <f aca="false">IF(Transações!E981&lt;&gt;"",Transações!E981,"")</f>
        <v/>
      </c>
      <c r="F981" s="7" t="str">
        <f aca="false">IF(C981="Compra",D981*E981,IF(C981="Staking",D981*E981,""))</f>
        <v/>
      </c>
      <c r="G981" s="7" t="str">
        <f aca="false">IF(C981="Venda",IF(COUNTIF(A$3:A980,A981)&gt;0,(E981-SUMPRODUCT((A$3:A980=A981)*(C$3:C980="Compra")*F$3:F980)/IF(SUMPRODUCT((A$3:A980=A981)*(C$3:C980="Compra")*D$3:D980)=0,1,SUMPRODUCT((A$3:A980=A981)*(C$3:C980="Compra")*D$3:D980)))*D981,0),"")</f>
        <v/>
      </c>
      <c r="H981" s="7" t="str">
        <f aca="false">IF(C981="Venda",E981*D981,"")</f>
        <v/>
      </c>
    </row>
    <row r="982" customFormat="false" ht="15" hidden="false" customHeight="false" outlineLevel="0" collapsed="false">
      <c r="A982" s="17" t="str">
        <f aca="false">IF(Transações!C982&lt;&gt;"",Transações!C982,"")</f>
        <v/>
      </c>
      <c r="B982" s="17" t="str">
        <f aca="false">IF(Transações!A982&lt;&gt;"",Transações!A982,"")</f>
        <v/>
      </c>
      <c r="C982" s="17" t="str">
        <f aca="false">IF(Transações!B982&lt;&gt;"",Transações!B982,"")</f>
        <v/>
      </c>
      <c r="D982" s="18" t="str">
        <f aca="false">IF(Transações!D982&lt;&gt;"",Transações!D982,"")</f>
        <v/>
      </c>
      <c r="E982" s="19" t="str">
        <f aca="false">IF(Transações!E982&lt;&gt;"",Transações!E982,"")</f>
        <v/>
      </c>
      <c r="F982" s="12" t="str">
        <f aca="false">IF(C982="Compra",D982*E982,IF(C982="Staking",D982*E982,""))</f>
        <v/>
      </c>
      <c r="G982" s="12" t="str">
        <f aca="false">IF(C982="Venda",IF(COUNTIF(A$3:A981,A982)&gt;0,(E982-SUMPRODUCT((A$3:A981=A982)*(C$3:C981="Compra")*F$3:F981)/IF(SUMPRODUCT((A$3:A981=A982)*(C$3:C981="Compra")*D$3:D981)=0,1,SUMPRODUCT((A$3:A981=A982)*(C$3:C981="Compra")*D$3:D981)))*D982,0),"")</f>
        <v/>
      </c>
      <c r="H982" s="12" t="str">
        <f aca="false">IF(C982="Venda",E982*D982,"")</f>
        <v/>
      </c>
    </row>
    <row r="983" customFormat="false" ht="15" hidden="false" customHeight="false" outlineLevel="0" collapsed="false">
      <c r="A983" s="14" t="str">
        <f aca="false">IF(Transações!C983&lt;&gt;"",Transações!C983,"")</f>
        <v/>
      </c>
      <c r="B983" s="14" t="str">
        <f aca="false">IF(Transações!A983&lt;&gt;"",Transações!A983,"")</f>
        <v/>
      </c>
      <c r="C983" s="14" t="str">
        <f aca="false">IF(Transações!B983&lt;&gt;"",Transações!B983,"")</f>
        <v/>
      </c>
      <c r="D983" s="15" t="str">
        <f aca="false">IF(Transações!D983&lt;&gt;"",Transações!D983,"")</f>
        <v/>
      </c>
      <c r="E983" s="16" t="str">
        <f aca="false">IF(Transações!E983&lt;&gt;"",Transações!E983,"")</f>
        <v/>
      </c>
      <c r="F983" s="7" t="str">
        <f aca="false">IF(C983="Compra",D983*E983,IF(C983="Staking",D983*E983,""))</f>
        <v/>
      </c>
      <c r="G983" s="7" t="str">
        <f aca="false">IF(C983="Venda",IF(COUNTIF(A$3:A982,A983)&gt;0,(E983-SUMPRODUCT((A$3:A982=A983)*(C$3:C982="Compra")*F$3:F982)/IF(SUMPRODUCT((A$3:A982=A983)*(C$3:C982="Compra")*D$3:D982)=0,1,SUMPRODUCT((A$3:A982=A983)*(C$3:C982="Compra")*D$3:D982)))*D983,0),"")</f>
        <v/>
      </c>
      <c r="H983" s="7" t="str">
        <f aca="false">IF(C983="Venda",E983*D983,"")</f>
        <v/>
      </c>
    </row>
    <row r="984" customFormat="false" ht="15" hidden="false" customHeight="false" outlineLevel="0" collapsed="false">
      <c r="A984" s="17" t="str">
        <f aca="false">IF(Transações!C984&lt;&gt;"",Transações!C984,"")</f>
        <v/>
      </c>
      <c r="B984" s="17" t="str">
        <f aca="false">IF(Transações!A984&lt;&gt;"",Transações!A984,"")</f>
        <v/>
      </c>
      <c r="C984" s="17" t="str">
        <f aca="false">IF(Transações!B984&lt;&gt;"",Transações!B984,"")</f>
        <v/>
      </c>
      <c r="D984" s="18" t="str">
        <f aca="false">IF(Transações!D984&lt;&gt;"",Transações!D984,"")</f>
        <v/>
      </c>
      <c r="E984" s="19" t="str">
        <f aca="false">IF(Transações!E984&lt;&gt;"",Transações!E984,"")</f>
        <v/>
      </c>
      <c r="F984" s="12" t="str">
        <f aca="false">IF(C984="Compra",D984*E984,IF(C984="Staking",D984*E984,""))</f>
        <v/>
      </c>
      <c r="G984" s="12" t="str">
        <f aca="false">IF(C984="Venda",IF(COUNTIF(A$3:A983,A984)&gt;0,(E984-SUMPRODUCT((A$3:A983=A984)*(C$3:C983="Compra")*F$3:F983)/IF(SUMPRODUCT((A$3:A983=A984)*(C$3:C983="Compra")*D$3:D983)=0,1,SUMPRODUCT((A$3:A983=A984)*(C$3:C983="Compra")*D$3:D983)))*D984,0),"")</f>
        <v/>
      </c>
      <c r="H984" s="12" t="str">
        <f aca="false">IF(C984="Venda",E984*D984,"")</f>
        <v/>
      </c>
    </row>
    <row r="985" customFormat="false" ht="15" hidden="false" customHeight="false" outlineLevel="0" collapsed="false">
      <c r="A985" s="14" t="str">
        <f aca="false">IF(Transações!C985&lt;&gt;"",Transações!C985,"")</f>
        <v/>
      </c>
      <c r="B985" s="14" t="str">
        <f aca="false">IF(Transações!A985&lt;&gt;"",Transações!A985,"")</f>
        <v/>
      </c>
      <c r="C985" s="14" t="str">
        <f aca="false">IF(Transações!B985&lt;&gt;"",Transações!B985,"")</f>
        <v/>
      </c>
      <c r="D985" s="15" t="str">
        <f aca="false">IF(Transações!D985&lt;&gt;"",Transações!D985,"")</f>
        <v/>
      </c>
      <c r="E985" s="16" t="str">
        <f aca="false">IF(Transações!E985&lt;&gt;"",Transações!E985,"")</f>
        <v/>
      </c>
      <c r="F985" s="7" t="str">
        <f aca="false">IF(C985="Compra",D985*E985,IF(C985="Staking",D985*E985,""))</f>
        <v/>
      </c>
      <c r="G985" s="7" t="str">
        <f aca="false">IF(C985="Venda",IF(COUNTIF(A$3:A984,A985)&gt;0,(E985-SUMPRODUCT((A$3:A984=A985)*(C$3:C984="Compra")*F$3:F984)/IF(SUMPRODUCT((A$3:A984=A985)*(C$3:C984="Compra")*D$3:D984)=0,1,SUMPRODUCT((A$3:A984=A985)*(C$3:C984="Compra")*D$3:D984)))*D985,0),"")</f>
        <v/>
      </c>
      <c r="H985" s="7" t="str">
        <f aca="false">IF(C985="Venda",E985*D985,"")</f>
        <v/>
      </c>
    </row>
    <row r="986" customFormat="false" ht="15" hidden="false" customHeight="false" outlineLevel="0" collapsed="false">
      <c r="A986" s="17" t="str">
        <f aca="false">IF(Transações!C986&lt;&gt;"",Transações!C986,"")</f>
        <v/>
      </c>
      <c r="B986" s="17" t="str">
        <f aca="false">IF(Transações!A986&lt;&gt;"",Transações!A986,"")</f>
        <v/>
      </c>
      <c r="C986" s="17" t="str">
        <f aca="false">IF(Transações!B986&lt;&gt;"",Transações!B986,"")</f>
        <v/>
      </c>
      <c r="D986" s="18" t="str">
        <f aca="false">IF(Transações!D986&lt;&gt;"",Transações!D986,"")</f>
        <v/>
      </c>
      <c r="E986" s="19" t="str">
        <f aca="false">IF(Transações!E986&lt;&gt;"",Transações!E986,"")</f>
        <v/>
      </c>
      <c r="F986" s="12" t="str">
        <f aca="false">IF(C986="Compra",D986*E986,IF(C986="Staking",D986*E986,""))</f>
        <v/>
      </c>
      <c r="G986" s="12" t="str">
        <f aca="false">IF(C986="Venda",IF(COUNTIF(A$3:A985,A986)&gt;0,(E986-SUMPRODUCT((A$3:A985=A986)*(C$3:C985="Compra")*F$3:F985)/IF(SUMPRODUCT((A$3:A985=A986)*(C$3:C985="Compra")*D$3:D985)=0,1,SUMPRODUCT((A$3:A985=A986)*(C$3:C985="Compra")*D$3:D985)))*D986,0),"")</f>
        <v/>
      </c>
      <c r="H986" s="12" t="str">
        <f aca="false">IF(C986="Venda",E986*D986,"")</f>
        <v/>
      </c>
    </row>
    <row r="987" customFormat="false" ht="15" hidden="false" customHeight="false" outlineLevel="0" collapsed="false">
      <c r="A987" s="14" t="str">
        <f aca="false">IF(Transações!C987&lt;&gt;"",Transações!C987,"")</f>
        <v/>
      </c>
      <c r="B987" s="14" t="str">
        <f aca="false">IF(Transações!A987&lt;&gt;"",Transações!A987,"")</f>
        <v/>
      </c>
      <c r="C987" s="14" t="str">
        <f aca="false">IF(Transações!B987&lt;&gt;"",Transações!B987,"")</f>
        <v/>
      </c>
      <c r="D987" s="15" t="str">
        <f aca="false">IF(Transações!D987&lt;&gt;"",Transações!D987,"")</f>
        <v/>
      </c>
      <c r="E987" s="16" t="str">
        <f aca="false">IF(Transações!E987&lt;&gt;"",Transações!E987,"")</f>
        <v/>
      </c>
      <c r="F987" s="7" t="str">
        <f aca="false">IF(C987="Compra",D987*E987,IF(C987="Staking",D987*E987,""))</f>
        <v/>
      </c>
      <c r="G987" s="7" t="str">
        <f aca="false">IF(C987="Venda",IF(COUNTIF(A$3:A986,A987)&gt;0,(E987-SUMPRODUCT((A$3:A986=A987)*(C$3:C986="Compra")*F$3:F986)/IF(SUMPRODUCT((A$3:A986=A987)*(C$3:C986="Compra")*D$3:D986)=0,1,SUMPRODUCT((A$3:A986=A987)*(C$3:C986="Compra")*D$3:D986)))*D987,0),"")</f>
        <v/>
      </c>
      <c r="H987" s="7" t="str">
        <f aca="false">IF(C987="Venda",E987*D987,"")</f>
        <v/>
      </c>
    </row>
    <row r="988" customFormat="false" ht="15" hidden="false" customHeight="false" outlineLevel="0" collapsed="false">
      <c r="A988" s="17" t="str">
        <f aca="false">IF(Transações!C988&lt;&gt;"",Transações!C988,"")</f>
        <v/>
      </c>
      <c r="B988" s="17" t="str">
        <f aca="false">IF(Transações!A988&lt;&gt;"",Transações!A988,"")</f>
        <v/>
      </c>
      <c r="C988" s="17" t="str">
        <f aca="false">IF(Transações!B988&lt;&gt;"",Transações!B988,"")</f>
        <v/>
      </c>
      <c r="D988" s="18" t="str">
        <f aca="false">IF(Transações!D988&lt;&gt;"",Transações!D988,"")</f>
        <v/>
      </c>
      <c r="E988" s="19" t="str">
        <f aca="false">IF(Transações!E988&lt;&gt;"",Transações!E988,"")</f>
        <v/>
      </c>
      <c r="F988" s="12" t="str">
        <f aca="false">IF(C988="Compra",D988*E988,IF(C988="Staking",D988*E988,""))</f>
        <v/>
      </c>
      <c r="G988" s="12" t="str">
        <f aca="false">IF(C988="Venda",IF(COUNTIF(A$3:A987,A988)&gt;0,(E988-SUMPRODUCT((A$3:A987=A988)*(C$3:C987="Compra")*F$3:F987)/IF(SUMPRODUCT((A$3:A987=A988)*(C$3:C987="Compra")*D$3:D987)=0,1,SUMPRODUCT((A$3:A987=A988)*(C$3:C987="Compra")*D$3:D987)))*D988,0),"")</f>
        <v/>
      </c>
      <c r="H988" s="12" t="str">
        <f aca="false">IF(C988="Venda",E988*D988,"")</f>
        <v/>
      </c>
    </row>
    <row r="989" customFormat="false" ht="15" hidden="false" customHeight="false" outlineLevel="0" collapsed="false">
      <c r="A989" s="14" t="str">
        <f aca="false">IF(Transações!C989&lt;&gt;"",Transações!C989,"")</f>
        <v/>
      </c>
      <c r="B989" s="14" t="str">
        <f aca="false">IF(Transações!A989&lt;&gt;"",Transações!A989,"")</f>
        <v/>
      </c>
      <c r="C989" s="14" t="str">
        <f aca="false">IF(Transações!B989&lt;&gt;"",Transações!B989,"")</f>
        <v/>
      </c>
      <c r="D989" s="15" t="str">
        <f aca="false">IF(Transações!D989&lt;&gt;"",Transações!D989,"")</f>
        <v/>
      </c>
      <c r="E989" s="16" t="str">
        <f aca="false">IF(Transações!E989&lt;&gt;"",Transações!E989,"")</f>
        <v/>
      </c>
      <c r="F989" s="7" t="str">
        <f aca="false">IF(C989="Compra",D989*E989,IF(C989="Staking",D989*E989,""))</f>
        <v/>
      </c>
      <c r="G989" s="7" t="str">
        <f aca="false">IF(C989="Venda",IF(COUNTIF(A$3:A988,A989)&gt;0,(E989-SUMPRODUCT((A$3:A988=A989)*(C$3:C988="Compra")*F$3:F988)/IF(SUMPRODUCT((A$3:A988=A989)*(C$3:C988="Compra")*D$3:D988)=0,1,SUMPRODUCT((A$3:A988=A989)*(C$3:C988="Compra")*D$3:D988)))*D989,0),"")</f>
        <v/>
      </c>
      <c r="H989" s="7" t="str">
        <f aca="false">IF(C989="Venda",E989*D989,"")</f>
        <v/>
      </c>
    </row>
    <row r="990" customFormat="false" ht="15" hidden="false" customHeight="false" outlineLevel="0" collapsed="false">
      <c r="A990" s="17" t="str">
        <f aca="false">IF(Transações!C990&lt;&gt;"",Transações!C990,"")</f>
        <v/>
      </c>
      <c r="B990" s="17" t="str">
        <f aca="false">IF(Transações!A990&lt;&gt;"",Transações!A990,"")</f>
        <v/>
      </c>
      <c r="C990" s="17" t="str">
        <f aca="false">IF(Transações!B990&lt;&gt;"",Transações!B990,"")</f>
        <v/>
      </c>
      <c r="D990" s="18" t="str">
        <f aca="false">IF(Transações!D990&lt;&gt;"",Transações!D990,"")</f>
        <v/>
      </c>
      <c r="E990" s="19" t="str">
        <f aca="false">IF(Transações!E990&lt;&gt;"",Transações!E990,"")</f>
        <v/>
      </c>
      <c r="F990" s="12" t="str">
        <f aca="false">IF(C990="Compra",D990*E990,IF(C990="Staking",D990*E990,""))</f>
        <v/>
      </c>
      <c r="G990" s="12" t="str">
        <f aca="false">IF(C990="Venda",IF(COUNTIF(A$3:A989,A990)&gt;0,(E990-SUMPRODUCT((A$3:A989=A990)*(C$3:C989="Compra")*F$3:F989)/IF(SUMPRODUCT((A$3:A989=A990)*(C$3:C989="Compra")*D$3:D989)=0,1,SUMPRODUCT((A$3:A989=A990)*(C$3:C989="Compra")*D$3:D989)))*D990,0),"")</f>
        <v/>
      </c>
      <c r="H990" s="12" t="str">
        <f aca="false">IF(C990="Venda",E990*D990,"")</f>
        <v/>
      </c>
    </row>
    <row r="991" customFormat="false" ht="15" hidden="false" customHeight="false" outlineLevel="0" collapsed="false">
      <c r="A991" s="14" t="str">
        <f aca="false">IF(Transações!C991&lt;&gt;"",Transações!C991,"")</f>
        <v/>
      </c>
      <c r="B991" s="14" t="str">
        <f aca="false">IF(Transações!A991&lt;&gt;"",Transações!A991,"")</f>
        <v/>
      </c>
      <c r="C991" s="14" t="str">
        <f aca="false">IF(Transações!B991&lt;&gt;"",Transações!B991,"")</f>
        <v/>
      </c>
      <c r="D991" s="15" t="str">
        <f aca="false">IF(Transações!D991&lt;&gt;"",Transações!D991,"")</f>
        <v/>
      </c>
      <c r="E991" s="16" t="str">
        <f aca="false">IF(Transações!E991&lt;&gt;"",Transações!E991,"")</f>
        <v/>
      </c>
      <c r="F991" s="7" t="str">
        <f aca="false">IF(C991="Compra",D991*E991,IF(C991="Staking",D991*E991,""))</f>
        <v/>
      </c>
      <c r="G991" s="7" t="str">
        <f aca="false">IF(C991="Venda",IF(COUNTIF(A$3:A990,A991)&gt;0,(E991-SUMPRODUCT((A$3:A990=A991)*(C$3:C990="Compra")*F$3:F990)/IF(SUMPRODUCT((A$3:A990=A991)*(C$3:C990="Compra")*D$3:D990)=0,1,SUMPRODUCT((A$3:A990=A991)*(C$3:C990="Compra")*D$3:D990)))*D991,0),"")</f>
        <v/>
      </c>
      <c r="H991" s="7" t="str">
        <f aca="false">IF(C991="Venda",E991*D991,"")</f>
        <v/>
      </c>
    </row>
    <row r="992" customFormat="false" ht="15" hidden="false" customHeight="false" outlineLevel="0" collapsed="false">
      <c r="A992" s="17" t="str">
        <f aca="false">IF(Transações!C992&lt;&gt;"",Transações!C992,"")</f>
        <v/>
      </c>
      <c r="B992" s="17" t="str">
        <f aca="false">IF(Transações!A992&lt;&gt;"",Transações!A992,"")</f>
        <v/>
      </c>
      <c r="C992" s="17" t="str">
        <f aca="false">IF(Transações!B992&lt;&gt;"",Transações!B992,"")</f>
        <v/>
      </c>
      <c r="D992" s="18" t="str">
        <f aca="false">IF(Transações!D992&lt;&gt;"",Transações!D992,"")</f>
        <v/>
      </c>
      <c r="E992" s="19" t="str">
        <f aca="false">IF(Transações!E992&lt;&gt;"",Transações!E992,"")</f>
        <v/>
      </c>
      <c r="F992" s="12" t="str">
        <f aca="false">IF(C992="Compra",D992*E992,IF(C992="Staking",D992*E992,""))</f>
        <v/>
      </c>
      <c r="G992" s="12" t="str">
        <f aca="false">IF(C992="Venda",IF(COUNTIF(A$3:A991,A992)&gt;0,(E992-SUMPRODUCT((A$3:A991=A992)*(C$3:C991="Compra")*F$3:F991)/IF(SUMPRODUCT((A$3:A991=A992)*(C$3:C991="Compra")*D$3:D991)=0,1,SUMPRODUCT((A$3:A991=A992)*(C$3:C991="Compra")*D$3:D991)))*D992,0),"")</f>
        <v/>
      </c>
      <c r="H992" s="12" t="str">
        <f aca="false">IF(C992="Venda",E992*D992,"")</f>
        <v/>
      </c>
    </row>
    <row r="993" customFormat="false" ht="15" hidden="false" customHeight="false" outlineLevel="0" collapsed="false">
      <c r="A993" s="14" t="str">
        <f aca="false">IF(Transações!C993&lt;&gt;"",Transações!C993,"")</f>
        <v/>
      </c>
      <c r="B993" s="14" t="str">
        <f aca="false">IF(Transações!A993&lt;&gt;"",Transações!A993,"")</f>
        <v/>
      </c>
      <c r="C993" s="14" t="str">
        <f aca="false">IF(Transações!B993&lt;&gt;"",Transações!B993,"")</f>
        <v/>
      </c>
      <c r="D993" s="15" t="str">
        <f aca="false">IF(Transações!D993&lt;&gt;"",Transações!D993,"")</f>
        <v/>
      </c>
      <c r="E993" s="16" t="str">
        <f aca="false">IF(Transações!E993&lt;&gt;"",Transações!E993,"")</f>
        <v/>
      </c>
      <c r="F993" s="7" t="str">
        <f aca="false">IF(C993="Compra",D993*E993,IF(C993="Staking",D993*E993,""))</f>
        <v/>
      </c>
      <c r="G993" s="7" t="str">
        <f aca="false">IF(C993="Venda",IF(COUNTIF(A$3:A992,A993)&gt;0,(E993-SUMPRODUCT((A$3:A992=A993)*(C$3:C992="Compra")*F$3:F992)/IF(SUMPRODUCT((A$3:A992=A993)*(C$3:C992="Compra")*D$3:D992)=0,1,SUMPRODUCT((A$3:A992=A993)*(C$3:C992="Compra")*D$3:D992)))*D993,0),"")</f>
        <v/>
      </c>
      <c r="H993" s="7" t="str">
        <f aca="false">IF(C993="Venda",E993*D993,"")</f>
        <v/>
      </c>
    </row>
    <row r="994" customFormat="false" ht="15" hidden="false" customHeight="false" outlineLevel="0" collapsed="false">
      <c r="A994" s="17" t="str">
        <f aca="false">IF(Transações!C994&lt;&gt;"",Transações!C994,"")</f>
        <v/>
      </c>
      <c r="B994" s="17" t="str">
        <f aca="false">IF(Transações!A994&lt;&gt;"",Transações!A994,"")</f>
        <v/>
      </c>
      <c r="C994" s="17" t="str">
        <f aca="false">IF(Transações!B994&lt;&gt;"",Transações!B994,"")</f>
        <v/>
      </c>
      <c r="D994" s="18" t="str">
        <f aca="false">IF(Transações!D994&lt;&gt;"",Transações!D994,"")</f>
        <v/>
      </c>
      <c r="E994" s="19" t="str">
        <f aca="false">IF(Transações!E994&lt;&gt;"",Transações!E994,"")</f>
        <v/>
      </c>
      <c r="F994" s="12" t="str">
        <f aca="false">IF(C994="Compra",D994*E994,IF(C994="Staking",D994*E994,""))</f>
        <v/>
      </c>
      <c r="G994" s="12" t="str">
        <f aca="false">IF(C994="Venda",IF(COUNTIF(A$3:A993,A994)&gt;0,(E994-SUMPRODUCT((A$3:A993=A994)*(C$3:C993="Compra")*F$3:F993)/IF(SUMPRODUCT((A$3:A993=A994)*(C$3:C993="Compra")*D$3:D993)=0,1,SUMPRODUCT((A$3:A993=A994)*(C$3:C993="Compra")*D$3:D993)))*D994,0),"")</f>
        <v/>
      </c>
      <c r="H994" s="12" t="str">
        <f aca="false">IF(C994="Venda",E994*D994,"")</f>
        <v/>
      </c>
    </row>
    <row r="995" customFormat="false" ht="15" hidden="false" customHeight="false" outlineLevel="0" collapsed="false">
      <c r="A995" s="14" t="str">
        <f aca="false">IF(Transações!C995&lt;&gt;"",Transações!C995,"")</f>
        <v/>
      </c>
      <c r="B995" s="14" t="str">
        <f aca="false">IF(Transações!A995&lt;&gt;"",Transações!A995,"")</f>
        <v/>
      </c>
      <c r="C995" s="14" t="str">
        <f aca="false">IF(Transações!B995&lt;&gt;"",Transações!B995,"")</f>
        <v/>
      </c>
      <c r="D995" s="15" t="str">
        <f aca="false">IF(Transações!D995&lt;&gt;"",Transações!D995,"")</f>
        <v/>
      </c>
      <c r="E995" s="16" t="str">
        <f aca="false">IF(Transações!E995&lt;&gt;"",Transações!E995,"")</f>
        <v/>
      </c>
      <c r="F995" s="7" t="str">
        <f aca="false">IF(C995="Compra",D995*E995,IF(C995="Staking",D995*E995,""))</f>
        <v/>
      </c>
      <c r="G995" s="7" t="str">
        <f aca="false">IF(C995="Venda",IF(COUNTIF(A$3:A994,A995)&gt;0,(E995-SUMPRODUCT((A$3:A994=A995)*(C$3:C994="Compra")*F$3:F994)/IF(SUMPRODUCT((A$3:A994=A995)*(C$3:C994="Compra")*D$3:D994)=0,1,SUMPRODUCT((A$3:A994=A995)*(C$3:C994="Compra")*D$3:D994)))*D995,0),"")</f>
        <v/>
      </c>
      <c r="H995" s="7" t="str">
        <f aca="false">IF(C995="Venda",E995*D995,"")</f>
        <v/>
      </c>
    </row>
    <row r="996" customFormat="false" ht="15" hidden="false" customHeight="false" outlineLevel="0" collapsed="false">
      <c r="A996" s="17" t="str">
        <f aca="false">IF(Transações!C996&lt;&gt;"",Transações!C996,"")</f>
        <v/>
      </c>
      <c r="B996" s="17" t="str">
        <f aca="false">IF(Transações!A996&lt;&gt;"",Transações!A996,"")</f>
        <v/>
      </c>
      <c r="C996" s="17" t="str">
        <f aca="false">IF(Transações!B996&lt;&gt;"",Transações!B996,"")</f>
        <v/>
      </c>
      <c r="D996" s="18" t="str">
        <f aca="false">IF(Transações!D996&lt;&gt;"",Transações!D996,"")</f>
        <v/>
      </c>
      <c r="E996" s="19" t="str">
        <f aca="false">IF(Transações!E996&lt;&gt;"",Transações!E996,"")</f>
        <v/>
      </c>
      <c r="F996" s="12" t="str">
        <f aca="false">IF(C996="Compra",D996*E996,IF(C996="Staking",D996*E996,""))</f>
        <v/>
      </c>
      <c r="G996" s="12" t="str">
        <f aca="false">IF(C996="Venda",IF(COUNTIF(A$3:A995,A996)&gt;0,(E996-SUMPRODUCT((A$3:A995=A996)*(C$3:C995="Compra")*F$3:F995)/IF(SUMPRODUCT((A$3:A995=A996)*(C$3:C995="Compra")*D$3:D995)=0,1,SUMPRODUCT((A$3:A995=A996)*(C$3:C995="Compra")*D$3:D995)))*D996,0),"")</f>
        <v/>
      </c>
      <c r="H996" s="12" t="str">
        <f aca="false">IF(C996="Venda",E996*D996,"")</f>
        <v/>
      </c>
    </row>
    <row r="997" customFormat="false" ht="15" hidden="false" customHeight="false" outlineLevel="0" collapsed="false">
      <c r="A997" s="14" t="str">
        <f aca="false">IF(Transações!C997&lt;&gt;"",Transações!C997,"")</f>
        <v/>
      </c>
      <c r="B997" s="14" t="str">
        <f aca="false">IF(Transações!A997&lt;&gt;"",Transações!A997,"")</f>
        <v/>
      </c>
      <c r="C997" s="14" t="str">
        <f aca="false">IF(Transações!B997&lt;&gt;"",Transações!B997,"")</f>
        <v/>
      </c>
      <c r="D997" s="15" t="str">
        <f aca="false">IF(Transações!D997&lt;&gt;"",Transações!D997,"")</f>
        <v/>
      </c>
      <c r="E997" s="16" t="str">
        <f aca="false">IF(Transações!E997&lt;&gt;"",Transações!E997,"")</f>
        <v/>
      </c>
      <c r="F997" s="7" t="str">
        <f aca="false">IF(C997="Compra",D997*E997,IF(C997="Staking",D997*E997,""))</f>
        <v/>
      </c>
      <c r="G997" s="7" t="str">
        <f aca="false">IF(C997="Venda",IF(COUNTIF(A$3:A996,A997)&gt;0,(E997-SUMPRODUCT((A$3:A996=A997)*(C$3:C996="Compra")*F$3:F996)/IF(SUMPRODUCT((A$3:A996=A997)*(C$3:C996="Compra")*D$3:D996)=0,1,SUMPRODUCT((A$3:A996=A997)*(C$3:C996="Compra")*D$3:D996)))*D997,0),"")</f>
        <v/>
      </c>
      <c r="H997" s="7" t="str">
        <f aca="false">IF(C997="Venda",E997*D997,"")</f>
        <v/>
      </c>
    </row>
    <row r="998" customFormat="false" ht="15" hidden="false" customHeight="false" outlineLevel="0" collapsed="false">
      <c r="A998" s="17" t="str">
        <f aca="false">IF(Transações!C998&lt;&gt;"",Transações!C998,"")</f>
        <v/>
      </c>
      <c r="B998" s="17" t="str">
        <f aca="false">IF(Transações!A998&lt;&gt;"",Transações!A998,"")</f>
        <v/>
      </c>
      <c r="C998" s="17" t="str">
        <f aca="false">IF(Transações!B998&lt;&gt;"",Transações!B998,"")</f>
        <v/>
      </c>
      <c r="D998" s="18" t="str">
        <f aca="false">IF(Transações!D998&lt;&gt;"",Transações!D998,"")</f>
        <v/>
      </c>
      <c r="E998" s="19" t="str">
        <f aca="false">IF(Transações!E998&lt;&gt;"",Transações!E998,"")</f>
        <v/>
      </c>
      <c r="F998" s="12" t="str">
        <f aca="false">IF(C998="Compra",D998*E998,IF(C998="Staking",D998*E998,""))</f>
        <v/>
      </c>
      <c r="G998" s="12" t="str">
        <f aca="false">IF(C998="Venda",IF(COUNTIF(A$3:A997,A998)&gt;0,(E998-SUMPRODUCT((A$3:A997=A998)*(C$3:C997="Compra")*F$3:F997)/IF(SUMPRODUCT((A$3:A997=A998)*(C$3:C997="Compra")*D$3:D997)=0,1,SUMPRODUCT((A$3:A997=A998)*(C$3:C997="Compra")*D$3:D997)))*D998,0),"")</f>
        <v/>
      </c>
      <c r="H998" s="12" t="str">
        <f aca="false">IF(C998="Venda",E998*D998,"")</f>
        <v/>
      </c>
    </row>
    <row r="999" customFormat="false" ht="15" hidden="false" customHeight="false" outlineLevel="0" collapsed="false">
      <c r="A999" s="14" t="str">
        <f aca="false">IF(Transações!C999&lt;&gt;"",Transações!C999,"")</f>
        <v/>
      </c>
      <c r="B999" s="14" t="str">
        <f aca="false">IF(Transações!A999&lt;&gt;"",Transações!A999,"")</f>
        <v/>
      </c>
      <c r="C999" s="14" t="str">
        <f aca="false">IF(Transações!B999&lt;&gt;"",Transações!B999,"")</f>
        <v/>
      </c>
      <c r="D999" s="15" t="str">
        <f aca="false">IF(Transações!D999&lt;&gt;"",Transações!D999,"")</f>
        <v/>
      </c>
      <c r="E999" s="16" t="str">
        <f aca="false">IF(Transações!E999&lt;&gt;"",Transações!E999,"")</f>
        <v/>
      </c>
      <c r="F999" s="7" t="str">
        <f aca="false">IF(C999="Compra",D999*E999,IF(C999="Staking",D999*E999,""))</f>
        <v/>
      </c>
      <c r="G999" s="7" t="str">
        <f aca="false">IF(C999="Venda",IF(COUNTIF(A$3:A998,A999)&gt;0,(E999-SUMPRODUCT((A$3:A998=A999)*(C$3:C998="Compra")*F$3:F998)/IF(SUMPRODUCT((A$3:A998=A999)*(C$3:C998="Compra")*D$3:D998)=0,1,SUMPRODUCT((A$3:A998=A999)*(C$3:C998="Compra")*D$3:D998)))*D999,0),"")</f>
        <v/>
      </c>
      <c r="H999" s="7" t="str">
        <f aca="false">IF(C999="Venda",E999*D999,"")</f>
        <v/>
      </c>
    </row>
    <row r="1000" customFormat="false" ht="15" hidden="false" customHeight="false" outlineLevel="0" collapsed="false">
      <c r="A1000" s="17" t="str">
        <f aca="false">IF(Transações!C1000&lt;&gt;"",Transações!C1000,"")</f>
        <v/>
      </c>
      <c r="B1000" s="17" t="str">
        <f aca="false">IF(Transações!A1000&lt;&gt;"",Transações!A1000,"")</f>
        <v/>
      </c>
      <c r="C1000" s="17" t="str">
        <f aca="false">IF(Transações!B1000&lt;&gt;"",Transações!B1000,"")</f>
        <v/>
      </c>
      <c r="D1000" s="18" t="str">
        <f aca="false">IF(Transações!D1000&lt;&gt;"",Transações!D1000,"")</f>
        <v/>
      </c>
      <c r="E1000" s="19" t="str">
        <f aca="false">IF(Transações!E1000&lt;&gt;"",Transações!E1000,"")</f>
        <v/>
      </c>
      <c r="F1000" s="12" t="str">
        <f aca="false">IF(C1000="Compra",D1000*E1000,IF(C1000="Staking",D1000*E1000,""))</f>
        <v/>
      </c>
      <c r="G1000" s="12" t="str">
        <f aca="false">IF(C1000="Venda",IF(COUNTIF(A$3:A999,A1000)&gt;0,(E1000-SUMPRODUCT((A$3:A999=A1000)*(C$3:C999="Compra")*F$3:F999)/IF(SUMPRODUCT((A$3:A999=A1000)*(C$3:C999="Compra")*D$3:D999)=0,1,SUMPRODUCT((A$3:A999=A1000)*(C$3:C999="Compra")*D$3:D999)))*D1000,0),"")</f>
        <v/>
      </c>
      <c r="H1000" s="12" t="str">
        <f aca="false">IF(C1000="Venda",E1000*D1000,"")</f>
        <v/>
      </c>
    </row>
    <row r="1001" customFormat="false" ht="15" hidden="false" customHeight="false" outlineLevel="0" collapsed="false">
      <c r="A1001" s="14" t="str">
        <f aca="false">IF(Transações!C1001&lt;&gt;"",Transações!C1001,"")</f>
        <v/>
      </c>
      <c r="B1001" s="14" t="str">
        <f aca="false">IF(Transações!A1001&lt;&gt;"",Transações!A1001,"")</f>
        <v/>
      </c>
      <c r="C1001" s="14" t="str">
        <f aca="false">IF(Transações!B1001&lt;&gt;"",Transações!B1001,"")</f>
        <v/>
      </c>
      <c r="D1001" s="15" t="str">
        <f aca="false">IF(Transações!D1001&lt;&gt;"",Transações!D1001,"")</f>
        <v/>
      </c>
      <c r="E1001" s="16" t="str">
        <f aca="false">IF(Transações!E1001&lt;&gt;"",Transações!E1001,"")</f>
        <v/>
      </c>
      <c r="F1001" s="7" t="str">
        <f aca="false">IF(C1001="Compra",D1001*E1001,IF(C1001="Staking",D1001*E1001,""))</f>
        <v/>
      </c>
      <c r="G1001" s="7" t="str">
        <f aca="false">IF(C1001="Venda",IF(COUNTIF(A$3:A1000,A1001)&gt;0,(E1001-SUMPRODUCT((A$3:A1000=A1001)*(C$3:C1000="Compra")*F$3:F1000)/IF(SUMPRODUCT((A$3:A1000=A1001)*(C$3:C1000="Compra")*D$3:D1000)=0,1,SUMPRODUCT((A$3:A1000=A1001)*(C$3:C1000="Compra")*D$3:D1000)))*D1001,0),"")</f>
        <v/>
      </c>
      <c r="H1001" s="7" t="str">
        <f aca="false">IF(C1001="Venda",E1001*D1001,"")</f>
        <v/>
      </c>
    </row>
    <row r="1002" customFormat="false" ht="15" hidden="false" customHeight="false" outlineLevel="0" collapsed="false">
      <c r="A1002" s="17" t="str">
        <f aca="false">IF(Transações!C1002&lt;&gt;"",Transações!C1002,"")</f>
        <v/>
      </c>
      <c r="B1002" s="17" t="str">
        <f aca="false">IF(Transações!A1002&lt;&gt;"",Transações!A1002,"")</f>
        <v/>
      </c>
      <c r="C1002" s="17" t="str">
        <f aca="false">IF(Transações!B1002&lt;&gt;"",Transações!B1002,"")</f>
        <v/>
      </c>
      <c r="D1002" s="18" t="str">
        <f aca="false">IF(Transações!D1002&lt;&gt;"",Transações!D1002,"")</f>
        <v/>
      </c>
      <c r="E1002" s="19" t="str">
        <f aca="false">IF(Transações!E1002&lt;&gt;"",Transações!E1002,"")</f>
        <v/>
      </c>
      <c r="F1002" s="12" t="str">
        <f aca="false">IF(C1002="Compra",D1002*E1002,IF(C1002="Staking",D1002*E1002,""))</f>
        <v/>
      </c>
      <c r="G1002" s="12" t="str">
        <f aca="false">IF(C1002="Venda",IF(COUNTIF(A$3:A1001,A1002)&gt;0,(E1002-SUMPRODUCT((A$3:A1001=A1002)*(C$3:C1001="Compra")*F$3:F1001)/IF(SUMPRODUCT((A$3:A1001=A1002)*(C$3:C1001="Compra")*D$3:D1001)=0,1,SUMPRODUCT((A$3:A1001=A1002)*(C$3:C1001="Compra")*D$3:D1001)))*D1002,0),"")</f>
        <v/>
      </c>
      <c r="H1002" s="12" t="str">
        <f aca="false">IF(C1002="Venda",E1002*D1002,"")</f>
        <v/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20"/>
  </cols>
  <sheetData>
    <row r="1" customFormat="false" ht="33.75" hidden="false" customHeight="true" outlineLevel="0" collapsed="false">
      <c r="A1" s="1" t="s">
        <v>31</v>
      </c>
      <c r="B1" s="1"/>
      <c r="C1" s="1"/>
    </row>
    <row r="2" customFormat="false" ht="21.75" hidden="false" customHeight="true" outlineLevel="0" collapsed="false">
      <c r="A2" s="20" t="s">
        <v>32</v>
      </c>
      <c r="B2" s="20"/>
      <c r="C2" s="20"/>
    </row>
    <row r="3" customFormat="false" ht="15" hidden="false" customHeight="false" outlineLevel="0" collapsed="false">
      <c r="A3" s="21" t="s">
        <v>33</v>
      </c>
      <c r="B3" s="22" t="str">
        <f aca="true">TEXT(TODAY(),"MM/YYYY")</f>
        <v>03/2026</v>
      </c>
      <c r="C3" s="23" t="s">
        <v>34</v>
      </c>
    </row>
    <row r="4" customFormat="false" ht="15" hidden="false" customHeight="false" outlineLevel="0" collapsed="false">
      <c r="A4" s="24" t="s">
        <v>35</v>
      </c>
      <c r="B4" s="25" t="n">
        <f aca="true">DATE(YEAR(TODAY()),MONTH(TODAY()),1)</f>
        <v>46082</v>
      </c>
      <c r="C4" s="26"/>
    </row>
    <row r="5" customFormat="false" ht="15" hidden="false" customHeight="false" outlineLevel="0" collapsed="false">
      <c r="A5" s="21" t="s">
        <v>36</v>
      </c>
      <c r="B5" s="27" t="n">
        <f aca="true">EOMONTH(TODAY(),0)</f>
        <v>46112</v>
      </c>
      <c r="C5" s="23"/>
    </row>
    <row r="7" customFormat="false" ht="21.75" hidden="false" customHeight="true" outlineLevel="0" collapsed="false">
      <c r="A7" s="20" t="s">
        <v>37</v>
      </c>
      <c r="B7" s="20"/>
      <c r="C7" s="20"/>
    </row>
    <row r="8" customFormat="false" ht="15" hidden="false" customHeight="false" outlineLevel="0" collapsed="false">
      <c r="A8" s="24" t="s">
        <v>38</v>
      </c>
      <c r="B8" s="12" t="n">
        <f aca="false">IFERROR(SUMIF(Transações!B3:B1002,"Venda",Transações!F3:F1002),0)</f>
        <v>12400</v>
      </c>
      <c r="C8" s="26" t="s">
        <v>39</v>
      </c>
    </row>
    <row r="9" customFormat="false" ht="22.35" hidden="false" customHeight="false" outlineLevel="0" collapsed="false">
      <c r="A9" s="21" t="s">
        <v>40</v>
      </c>
      <c r="B9" s="7" t="n">
        <f aca="false">IFERROR(SUM('Apuração FIFO'!G3:G1002),0)</f>
        <v>800</v>
      </c>
      <c r="C9" s="23" t="s">
        <v>41</v>
      </c>
    </row>
    <row r="10" customFormat="false" ht="22.35" hidden="false" customHeight="false" outlineLevel="0" collapsed="false">
      <c r="A10" s="24" t="s">
        <v>42</v>
      </c>
      <c r="B10" s="12" t="n">
        <f aca="false">35000</f>
        <v>35000</v>
      </c>
      <c r="C10" s="26" t="s">
        <v>43</v>
      </c>
    </row>
    <row r="11" customFormat="false" ht="15" hidden="false" customHeight="false" outlineLevel="0" collapsed="false">
      <c r="A11" s="21" t="s">
        <v>44</v>
      </c>
      <c r="B11" s="22" t="str">
        <f aca="false">IF(B8&gt;B10,"⚠️ SIM – DARF OBRIGATÓRIO","✅ NÃO – Isento")</f>
        <v>✅ NÃO – Isento</v>
      </c>
      <c r="C11" s="23"/>
    </row>
    <row r="13" customFormat="false" ht="21.75" hidden="false" customHeight="true" outlineLevel="0" collapsed="false">
      <c r="A13" s="20" t="s">
        <v>45</v>
      </c>
      <c r="B13" s="20"/>
      <c r="C13" s="20"/>
    </row>
    <row r="14" customFormat="false" ht="15" hidden="false" customHeight="false" outlineLevel="0" collapsed="false">
      <c r="A14" s="24" t="s">
        <v>46</v>
      </c>
      <c r="B14" s="12" t="n">
        <f aca="false">MAX(B9,0)</f>
        <v>800</v>
      </c>
      <c r="C14" s="26" t="s">
        <v>47</v>
      </c>
    </row>
    <row r="15" customFormat="false" ht="15" hidden="false" customHeight="false" outlineLevel="0" collapsed="false">
      <c r="A15" s="21" t="s">
        <v>48</v>
      </c>
      <c r="B15" s="28" t="n">
        <f aca="false">0.15</f>
        <v>0.15</v>
      </c>
      <c r="C15" s="23" t="s">
        <v>49</v>
      </c>
    </row>
    <row r="16" customFormat="false" ht="15" hidden="false" customHeight="false" outlineLevel="0" collapsed="false">
      <c r="A16" s="24" t="s">
        <v>50</v>
      </c>
      <c r="B16" s="12" t="n">
        <f aca="false">IF(B8&gt;B10,B14*B15,0)</f>
        <v>0</v>
      </c>
      <c r="C16" s="26" t="s">
        <v>51</v>
      </c>
    </row>
    <row r="17" customFormat="false" ht="22.35" hidden="false" customHeight="false" outlineLevel="0" collapsed="false">
      <c r="A17" s="21" t="s">
        <v>52</v>
      </c>
      <c r="B17" s="7" t="n">
        <f aca="false">B16*0.0033</f>
        <v>0</v>
      </c>
      <c r="C17" s="23" t="s">
        <v>53</v>
      </c>
    </row>
    <row r="18" customFormat="false" ht="15" hidden="false" customHeight="false" outlineLevel="0" collapsed="false">
      <c r="A18" s="24" t="s">
        <v>54</v>
      </c>
      <c r="B18" s="12" t="n">
        <f aca="false">B16*0.01</f>
        <v>0</v>
      </c>
      <c r="C18" s="26" t="s">
        <v>55</v>
      </c>
    </row>
    <row r="20" customFormat="false" ht="21.75" hidden="false" customHeight="true" outlineLevel="0" collapsed="false">
      <c r="A20" s="20" t="s">
        <v>56</v>
      </c>
      <c r="B20" s="20"/>
      <c r="C20" s="20"/>
    </row>
    <row r="21" customFormat="false" ht="22.35" hidden="false" customHeight="false" outlineLevel="0" collapsed="false">
      <c r="A21" s="21" t="s">
        <v>57</v>
      </c>
      <c r="B21" s="22" t="s">
        <v>58</v>
      </c>
      <c r="C21" s="23" t="s">
        <v>59</v>
      </c>
    </row>
    <row r="22" customFormat="false" ht="15" hidden="false" customHeight="false" outlineLevel="0" collapsed="false">
      <c r="A22" s="24" t="s">
        <v>60</v>
      </c>
      <c r="B22" s="29" t="str">
        <f aca="true">TEXT(TODAY(),"MM/YYYY")</f>
        <v>03/2026</v>
      </c>
      <c r="C22" s="26" t="s">
        <v>61</v>
      </c>
    </row>
    <row r="23" customFormat="false" ht="22.35" hidden="false" customHeight="false" outlineLevel="0" collapsed="false">
      <c r="A23" s="21" t="s">
        <v>62</v>
      </c>
      <c r="B23" s="22" t="str">
        <f aca="true">TEXT(EOMONTH(TODAY(),0)+1,"DD/MM/YYYY")</f>
        <v>01/04/2026</v>
      </c>
      <c r="C23" s="23" t="s">
        <v>63</v>
      </c>
    </row>
    <row r="24" customFormat="false" ht="15" hidden="false" customHeight="false" outlineLevel="0" collapsed="false">
      <c r="A24" s="24" t="s">
        <v>64</v>
      </c>
      <c r="B24" s="29" t="s">
        <v>65</v>
      </c>
      <c r="C24" s="26" t="s">
        <v>66</v>
      </c>
    </row>
    <row r="25" customFormat="false" ht="22.35" hidden="false" customHeight="false" outlineLevel="0" collapsed="false">
      <c r="A25" s="21" t="s">
        <v>67</v>
      </c>
      <c r="B25" s="30" t="n">
        <f aca="false">B16</f>
        <v>0</v>
      </c>
      <c r="C25" s="23" t="s">
        <v>68</v>
      </c>
    </row>
    <row r="27" customFormat="false" ht="21.75" hidden="false" customHeight="true" outlineLevel="0" collapsed="false">
      <c r="A27" s="20" t="s">
        <v>69</v>
      </c>
      <c r="B27" s="20"/>
      <c r="C27" s="20"/>
    </row>
    <row r="28" customFormat="false" ht="15" hidden="false" customHeight="true" outlineLevel="0" collapsed="false">
      <c r="A28" s="31" t="s">
        <v>70</v>
      </c>
      <c r="B28" s="31"/>
      <c r="C28" s="31"/>
    </row>
  </sheetData>
  <mergeCells count="7">
    <mergeCell ref="A1:C1"/>
    <mergeCell ref="A2:C2"/>
    <mergeCell ref="A7:C7"/>
    <mergeCell ref="A13:C13"/>
    <mergeCell ref="A20:C20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9.75" hidden="false" customHeight="true" outlineLevel="0" collapsed="false">
      <c r="A1" s="32" t="s">
        <v>71</v>
      </c>
    </row>
    <row r="2" customFormat="false" ht="15.75" hidden="false" customHeight="true" outlineLevel="0" collapsed="false"/>
    <row r="3" customFormat="false" ht="25.5" hidden="false" customHeight="true" outlineLevel="0" collapsed="false">
      <c r="A3" s="33" t="s">
        <v>72</v>
      </c>
    </row>
    <row r="4" customFormat="false" ht="15.75" hidden="false" customHeight="true" outlineLevel="0" collapsed="false"/>
    <row r="5" customFormat="false" ht="79.5" hidden="false" customHeight="true" outlineLevel="0" collapsed="false">
      <c r="A5" s="34" t="s">
        <v>73</v>
      </c>
    </row>
    <row r="6" customFormat="false" ht="79.5" hidden="false" customHeight="true" outlineLevel="0" collapsed="false">
      <c r="A6" s="35" t="s">
        <v>74</v>
      </c>
    </row>
    <row r="7" customFormat="false" ht="48" hidden="false" customHeight="true" outlineLevel="0" collapsed="false">
      <c r="A7" s="34" t="s">
        <v>75</v>
      </c>
    </row>
    <row r="8" customFormat="false" ht="30" hidden="false" customHeight="true" outlineLevel="0" collapsed="false">
      <c r="A8" s="35" t="s">
        <v>76</v>
      </c>
    </row>
    <row r="9" customFormat="false" ht="15.75" hidden="false" customHeight="true" outlineLevel="0" collapsed="false"/>
    <row r="10" customFormat="false" ht="25.5" hidden="false" customHeight="true" outlineLevel="0" collapsed="false">
      <c r="A10" s="33" t="s">
        <v>77</v>
      </c>
    </row>
    <row r="11" customFormat="false" ht="15.75" hidden="false" customHeight="true" outlineLevel="0" collapsed="false"/>
    <row r="12" customFormat="false" ht="79.5" hidden="false" customHeight="true" outlineLevel="0" collapsed="false">
      <c r="A12" s="35" t="s">
        <v>78</v>
      </c>
    </row>
    <row r="13" customFormat="false" ht="79.5" hidden="false" customHeight="true" outlineLevel="0" collapsed="false">
      <c r="A13" s="34" t="s">
        <v>79</v>
      </c>
    </row>
    <row r="14" customFormat="false" ht="48" hidden="false" customHeight="true" outlineLevel="0" collapsed="false">
      <c r="A14" s="35" t="s">
        <v>80</v>
      </c>
    </row>
    <row r="15" customFormat="false" ht="48" hidden="false" customHeight="true" outlineLevel="0" collapsed="false">
      <c r="A15" s="34" t="s">
        <v>81</v>
      </c>
    </row>
    <row r="16" customFormat="false" ht="79.5" hidden="false" customHeight="true" outlineLevel="0" collapsed="false">
      <c r="A16" s="35" t="s">
        <v>82</v>
      </c>
    </row>
    <row r="17" customFormat="false" ht="79.5" hidden="false" customHeight="true" outlineLevel="0" collapsed="false">
      <c r="A17" s="34" t="s">
        <v>83</v>
      </c>
    </row>
    <row r="18" customFormat="false" ht="48" hidden="false" customHeight="true" outlineLevel="0" collapsed="false">
      <c r="A18" s="35" t="s">
        <v>84</v>
      </c>
    </row>
    <row r="19" customFormat="false" ht="48" hidden="false" customHeight="true" outlineLevel="0" collapsed="false">
      <c r="A19" s="34" t="s">
        <v>85</v>
      </c>
    </row>
    <row r="20" customFormat="false" ht="15.75" hidden="false" customHeight="true" outlineLevel="0" collapsed="false"/>
    <row r="21" customFormat="false" ht="25.5" hidden="false" customHeight="true" outlineLevel="0" collapsed="false">
      <c r="A21" s="33" t="s">
        <v>86</v>
      </c>
    </row>
    <row r="22" customFormat="false" ht="15.75" hidden="false" customHeight="true" outlineLevel="0" collapsed="false"/>
    <row r="23" customFormat="false" ht="79.5" hidden="false" customHeight="true" outlineLevel="0" collapsed="false">
      <c r="A23" s="34" t="s">
        <v>87</v>
      </c>
    </row>
    <row r="24" customFormat="false" ht="15.75" hidden="false" customHeight="true" outlineLevel="0" collapsed="false"/>
    <row r="25" customFormat="false" ht="25.5" hidden="false" customHeight="true" outlineLevel="0" collapsed="false">
      <c r="A25" s="33" t="s">
        <v>88</v>
      </c>
    </row>
    <row r="26" customFormat="false" ht="15.75" hidden="false" customHeight="true" outlineLevel="0" collapsed="false"/>
    <row r="27" customFormat="false" ht="79.5" hidden="false" customHeight="true" outlineLevel="0" collapsed="false">
      <c r="A27" s="34" t="s">
        <v>89</v>
      </c>
    </row>
    <row r="28" customFormat="false" ht="15.75" hidden="false" customHeight="true" outlineLevel="0" collapsed="false"/>
    <row r="29" customFormat="false" ht="25.5" hidden="false" customHeight="true" outlineLevel="0" collapsed="false">
      <c r="A29" s="33" t="s">
        <v>90</v>
      </c>
    </row>
    <row r="30" customFormat="false" ht="15.75" hidden="false" customHeight="true" outlineLevel="0" collapsed="false"/>
    <row r="31" customFormat="false" ht="48" hidden="false" customHeight="true" outlineLevel="0" collapsed="false">
      <c r="A31" s="34" t="s">
        <v>91</v>
      </c>
    </row>
    <row r="32" customFormat="false" ht="30" hidden="false" customHeight="true" outlineLevel="0" collapsed="false">
      <c r="A32" s="35" t="s">
        <v>92</v>
      </c>
    </row>
    <row r="33" customFormat="false" ht="30" hidden="false" customHeight="true" outlineLevel="0" collapsed="false">
      <c r="A33" s="34" t="s">
        <v>93</v>
      </c>
    </row>
    <row r="34" customFormat="false" ht="30" hidden="false" customHeight="true" outlineLevel="0" collapsed="false">
      <c r="A34" s="3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2026-03-04T14:27:52Z</dcterms:created>
  <dc:creator>openpyxl</dc:creator>
  <dc:description/>
  <dc:language>en-US</dc:language>
  <cp:lastModifiedBy/>
  <dcterms:modified xsi:type="dcterms:W3CDTF">2026-03-04T14:27:53Z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